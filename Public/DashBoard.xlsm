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source\repos\PDV_Xavier\Public\"/>
    </mc:Choice>
  </mc:AlternateContent>
  <xr:revisionPtr revIDLastSave="0" documentId="13_ncr:1_{0B16F9EE-2F1A-4735-9F78-7901870DB62F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Config" sheetId="1" r:id="rId1"/>
    <sheet name="Operacoes" sheetId="6" r:id="rId2"/>
    <sheet name="Contatos" sheetId="5" r:id="rId3"/>
    <sheet name="Produtos" sheetId="4" r:id="rId4"/>
  </sheets>
  <definedNames>
    <definedName name="Config">Config!$A$1</definedName>
    <definedName name="ExternalData_1" localSheetId="3" hidden="1">Produtos!$A$1:$G$2</definedName>
    <definedName name="ExternalData_2" localSheetId="2" hidden="1">'Contatos'!$A$1:$E$2</definedName>
    <definedName name="ExternalData_3" localSheetId="1" hidden="1">Operacoes!$A$1:$F$2</definedName>
  </definedNames>
  <calcPr calcId="191029"/>
  <pivotCaches>
    <pivotCache cacheId="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C13F9D-F398-4CF3-AA1A-B90329193648}" keepAlive="1" name="Query - Contatos" description="Connection to the 'Contatos' query in the workbook." type="5" refreshedVersion="8" background="1" saveData="1">
    <dbPr connection="Provider=Microsoft.Mashup.OleDb.1;Data Source=$Workbook$;Location=Contatos;Extended Properties=&quot;&quot;" command="SELECT * FROM [Contatos]"/>
  </connection>
  <connection id="2" xr16:uid="{486DB49A-7DE9-4D55-BF51-A58593E6A33A}" keepAlive="1" name="Query - DataSource" description="Connection to the 'DataSource' query in the workbook." type="5" refreshedVersion="0" background="1">
    <dbPr connection="Provider=Microsoft.Mashup.OleDb.1;Data Source=$Workbook$;Location=DataSource;Extended Properties=&quot;&quot;" command="SELECT * FROM [DataSource]"/>
  </connection>
  <connection id="3" xr16:uid="{3B410141-66AA-4DC6-A985-8F0E4B11B851}" keepAlive="1" name="Query - Operacoes" description="Connection to the 'Operacoes' query in the workbook." type="5" refreshedVersion="8" background="1" saveData="1">
    <dbPr connection="Provider=Microsoft.Mashup.OleDb.1;Data Source=$Workbook$;Location=Operacoes;Extended Properties=&quot;&quot;" command="SELECT * FROM [Operacoes]"/>
  </connection>
  <connection id="4" xr16:uid="{309AD7BE-B8BD-4262-9F92-8B244C9C972B}" keepAlive="1" name="Query - Produtos" description="Connection to the 'Produtos' query in the workbook." type="5" refreshedVersion="8" background="1" saveData="1">
    <dbPr connection="Provider=Microsoft.Mashup.OleDb.1;Data Source=$Workbook$;Location=Produtos;Extended Properties=&quot;&quot;" command="SELECT * FROM [Produtos]"/>
  </connection>
</connections>
</file>

<file path=xl/sharedStrings.xml><?xml version="1.0" encoding="utf-8"?>
<sst xmlns="http://schemas.openxmlformats.org/spreadsheetml/2006/main" count="22" uniqueCount="19">
  <si>
    <t>C:\Users\lucas\source\repos\PDV_Xavier\Public\DB_PDVGP.db</t>
  </si>
  <si>
    <t>id</t>
  </si>
  <si>
    <t>codigo</t>
  </si>
  <si>
    <t>nome</t>
  </si>
  <si>
    <t>marca</t>
  </si>
  <si>
    <t>tipo_produto</t>
  </si>
  <si>
    <t>preco</t>
  </si>
  <si>
    <t>em_estoque</t>
  </si>
  <si>
    <t>telefone</t>
  </si>
  <si>
    <t>email</t>
  </si>
  <si>
    <t>is_fornecedor</t>
  </si>
  <si>
    <t>id_contato</t>
  </si>
  <si>
    <t>valor</t>
  </si>
  <si>
    <t>tipo_pagamento</t>
  </si>
  <si>
    <t>tipo_operacao</t>
  </si>
  <si>
    <t>criado_em</t>
  </si>
  <si>
    <t>Movimentação Total:</t>
  </si>
  <si>
    <t>Soma de valor</t>
  </si>
  <si>
    <t>data_formatada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</si>
</sst>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[DashBoard.xlsm]Operacoes!Tabela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Lucro</a:t>
            </a:r>
            <a:r>
              <a:rPr lang="en-US" baseline="0"/>
              <a:t>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Operacoes!$I$1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Operacoes!$I$2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Operacoes!$I$2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835-4157-9DDB-C7322C991B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575793263"/>
        <c:axId val="575780783"/>
      </c:barChart>
      <c:catAx>
        <c:axId val="57579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80783"/>
        <c:crosses val="autoZero"/>
        <c:auto val="1"/>
        <c:lblAlgn val="ctr"/>
        <c:lblOffset val="100"/>
        <c:noMultiLvlLbl val="0"/>
      </c:catAx>
      <c:valAx>
        <c:axId val="57578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9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0</xdr:rowOff>
    </xdr:from>
    <xdr:to>
      <xdr:col>4</xdr:col>
      <xdr:colOff>1</xdr:colOff>
      <xdr:row>3</xdr:row>
      <xdr:rowOff>0</xdr:rowOff>
    </xdr:to>
    <xdr:sp macro="[0]!SelecionarArquivoComPathCompleto" textlink="">
      <xdr:nvSpPr>
        <xdr:cNvPr id="2" name="Rectangle 1">
          <a:extLst>
            <a:ext uri="{FF2B5EF4-FFF2-40B4-BE49-F238E27FC236}">
              <a16:creationId xmlns:a16="http://schemas.microsoft.com/office/drawing/2014/main" id="{6A18DAA6-3321-1428-B980-E56BA0D86A01}"/>
            </a:ext>
          </a:extLst>
        </xdr:cNvPr>
        <xdr:cNvSpPr/>
      </xdr:nvSpPr>
      <xdr:spPr>
        <a:xfrm>
          <a:off x="190501" y="190500"/>
          <a:ext cx="1225826" cy="381000"/>
        </a:xfrm>
        <a:prstGeom prst="rect">
          <a:avLst/>
        </a:prstGeom>
        <a:solidFill>
          <a:schemeClr val="tx2">
            <a:lumMod val="50000"/>
          </a:schemeClr>
        </a:solidFill>
        <a:ln w="19050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Abrir</a:t>
          </a:r>
          <a:r>
            <a:rPr lang="en-CA" sz="1400" b="1" baseline="0"/>
            <a:t> banco</a:t>
          </a:r>
        </a:p>
      </xdr:txBody>
    </xdr:sp>
    <xdr:clientData/>
  </xdr:twoCellAnchor>
  <xdr:twoCellAnchor>
    <xdr:from>
      <xdr:col>4</xdr:col>
      <xdr:colOff>181262</xdr:colOff>
      <xdr:row>1</xdr:row>
      <xdr:rowOff>8741</xdr:rowOff>
    </xdr:from>
    <xdr:to>
      <xdr:col>4</xdr:col>
      <xdr:colOff>579783</xdr:colOff>
      <xdr:row>3</xdr:row>
      <xdr:rowOff>8258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2E6AC48-5DA3-95D8-3105-2CB8DE78A6D9}"/>
            </a:ext>
          </a:extLst>
        </xdr:cNvPr>
        <xdr:cNvGrpSpPr/>
      </xdr:nvGrpSpPr>
      <xdr:grpSpPr>
        <a:xfrm>
          <a:off x="1588031" y="199241"/>
          <a:ext cx="398521" cy="380517"/>
          <a:chOff x="2421295" y="840988"/>
          <a:chExt cx="996392" cy="952500"/>
        </a:xfrm>
      </xdr:grpSpPr>
      <xdr:sp macro="[0]!RefreshAll" textlink="">
        <xdr:nvSpPr>
          <xdr:cNvPr id="4" name="Block Arc 3">
            <a:extLst>
              <a:ext uri="{FF2B5EF4-FFF2-40B4-BE49-F238E27FC236}">
                <a16:creationId xmlns:a16="http://schemas.microsoft.com/office/drawing/2014/main" id="{930B3400-B9FF-7A57-63FC-F55552F326EF}"/>
              </a:ext>
            </a:extLst>
          </xdr:cNvPr>
          <xdr:cNvSpPr/>
        </xdr:nvSpPr>
        <xdr:spPr>
          <a:xfrm>
            <a:off x="2456703" y="840988"/>
            <a:ext cx="960984" cy="952500"/>
          </a:xfrm>
          <a:prstGeom prst="blockArc">
            <a:avLst>
              <a:gd name="adj1" fmla="val 10800000"/>
              <a:gd name="adj2" fmla="val 7360162"/>
              <a:gd name="adj3" fmla="val 15678"/>
            </a:avLst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tx1"/>
              </a:solidFill>
            </a:endParaRPr>
          </a:p>
        </xdr:txBody>
      </xdr:sp>
      <xdr:sp macro="[0]!RefreshAll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6036FF01-6B9E-99BD-F9DD-7903313348D7}"/>
              </a:ext>
            </a:extLst>
          </xdr:cNvPr>
          <xdr:cNvSpPr/>
        </xdr:nvSpPr>
        <xdr:spPr>
          <a:xfrm rot="18259643">
            <a:off x="2398422" y="1414575"/>
            <a:ext cx="362416" cy="316669"/>
          </a:xfrm>
          <a:prstGeom prst="triangl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6</xdr:col>
      <xdr:colOff>0</xdr:colOff>
      <xdr:row>10</xdr:row>
      <xdr:rowOff>0</xdr:rowOff>
    </xdr:from>
    <xdr:to>
      <xdr:col>15</xdr:col>
      <xdr:colOff>339586</xdr:colOff>
      <xdr:row>27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497D0F-6214-4620-B159-0B939081A1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ittencourt" refreshedDate="45815.686662615743" createdVersion="8" refreshedVersion="8" minRefreshableVersion="3" recordCount="1" xr:uid="{45525607-B240-41FD-A3E6-3210373A7F66}">
  <cacheSource type="worksheet">
    <worksheetSource name="Operacoes"/>
  </cacheSource>
  <cacheFields count="7">
    <cacheField name="id" numFmtId="0">
      <sharedItems containsNonDate="0" containsString="0" containsBlank="1"/>
    </cacheField>
    <cacheField name="id_contato" numFmtId="0">
      <sharedItems containsNonDate="0" containsString="0" containsBlank="1"/>
    </cacheField>
    <cacheField name="valor" numFmtId="0">
      <sharedItems containsNonDate="0" containsString="0" containsBlank="1"/>
    </cacheField>
    <cacheField name="tipo_pagamento" numFmtId="0">
      <sharedItems containsNonDate="0" containsString="0" containsBlank="1"/>
    </cacheField>
    <cacheField name="tipo_operacao" numFmtId="0">
      <sharedItems containsNonDate="0" containsString="0" containsBlank="1"/>
    </cacheField>
    <cacheField name="criado_em" numFmtId="14">
      <sharedItems containsNonDate="0" containsString="0" containsBlank="1"/>
    </cacheField>
    <cacheField name="data_formatada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EBF2E-AA74-4788-AA14-D6394FC0B048}" name="Tabela dinâ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I1:I2" firstHeaderRow="1" firstDataRow="1" firstDataCol="0"/>
  <pivotFields count="7">
    <pivotField showAll="0"/>
    <pivotField showAll="0"/>
    <pivotField dataField="1" showAll="0"/>
    <pivotField showAll="0"/>
    <pivotField showAll="0"/>
    <pivotField showAll="0"/>
    <pivotField numFmtId="14" showAll="0"/>
  </pivotFields>
  <rowItems count="1">
    <i/>
  </rowItems>
  <colItems count="1">
    <i/>
  </colItems>
  <dataFields count="1">
    <dataField name="Soma de valor" fld="2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61183B1-2184-4D7D-8FE4-2E59918B7438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id" tableColumnId="1"/>
      <queryTableField id="2" name="id_contato" tableColumnId="2"/>
      <queryTableField id="3" name="valor" tableColumnId="3"/>
      <queryTableField id="4" name="tipo_pagamento" tableColumnId="4"/>
      <queryTableField id="5" name="tipo_operacao" tableColumnId="5"/>
      <queryTableField id="6" name="criado_em" tableColumnId="6"/>
      <queryTableField id="7" dataBound="0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78C819B5-652E-437D-911C-ACFBE5CD0691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nome" tableColumnId="2"/>
      <queryTableField id="3" name="telefone" tableColumnId="3"/>
      <queryTableField id="4" name="email" tableColumnId="4"/>
      <queryTableField id="5" name="is_fornecedor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462D10E-59B8-4DF5-ABD7-2B8063C0148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codigo" tableColumnId="2"/>
      <queryTableField id="3" name="nome" tableColumnId="3"/>
      <queryTableField id="4" name="marca" tableColumnId="4"/>
      <queryTableField id="5" name="tipo_produto" tableColumnId="5"/>
      <queryTableField id="6" name="preco" tableColumnId="6"/>
      <queryTableField id="7" name="em_estoq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8E7B7B-D6C1-4517-A979-7A97FBE7FD1F}" name="Operacoes" displayName="Operacoes" ref="A1:G2" tableType="queryTable" insertRow="1" totalsRowShown="0">
  <autoFilter ref="A1:G2" xr:uid="{868E7B7B-D6C1-4517-A979-7A97FBE7FD1F}"/>
  <tableColumns count="7">
    <tableColumn id="1" xr3:uid="{60112595-4B1D-4F04-8E63-B8E69D7CE7FC}" uniqueName="1" name="id" queryTableFieldId="1"/>
    <tableColumn id="2" xr3:uid="{DCCDF019-600E-4DF9-8B65-7F76E77CF90A}" uniqueName="2" name="id_contato" queryTableFieldId="2"/>
    <tableColumn id="3" xr3:uid="{39D8B682-4773-41C6-9696-010086DD84D9}" uniqueName="3" name="valor" queryTableFieldId="3"/>
    <tableColumn id="4" xr3:uid="{734FB27A-7F72-4B30-AFFD-ED1F4E2724F9}" uniqueName="4" name="tipo_pagamento" queryTableFieldId="4" dataDxfId="13"/>
    <tableColumn id="5" xr3:uid="{3517676F-FA4A-4F31-B8EC-4919C6ACAB36}" uniqueName="5" name="tipo_operacao" queryTableFieldId="5" dataDxfId="12"/>
    <tableColumn id="6" xr3:uid="{C3D8C44E-CA7C-4BE5-B7CD-5EB16532DCF5}" uniqueName="6" name="criado_em" queryTableFieldId="6" dataDxfId="4"/>
    <tableColumn id="7" xr3:uid="{E1E6FEAC-E957-4034-B1F3-48979FC591DC}" uniqueName="7" name="data_formatada" queryTableFieldId="7" dataDxfId="3">
      <calculatedColumnFormula>DATEVALUE(Operacoes[[#This Row],[criado_em]])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03D30A-4E0A-485E-BAD1-E45F052A6334}" name="Contatos" displayName="Contatos" ref="A1:E2" tableType="queryTable" insertRow="1" totalsRowShown="0">
  <autoFilter ref="A1:E2" xr:uid="{F403D30A-4E0A-485E-BAD1-E45F052A6334}"/>
  <tableColumns count="5">
    <tableColumn id="1" xr3:uid="{A059850D-EF5F-4755-B6BF-232807E7047E}" uniqueName="1" name="id" queryTableFieldId="1"/>
    <tableColumn id="2" xr3:uid="{32A3EF96-0319-4C77-8F9B-B8CE7AC5D006}" uniqueName="2" name="nome" queryTableFieldId="2" dataDxfId="11"/>
    <tableColumn id="3" xr3:uid="{1D312079-9A28-4A87-BB51-31DFF9853504}" uniqueName="3" name="telefone" queryTableFieldId="3" dataDxfId="10"/>
    <tableColumn id="4" xr3:uid="{EEB88ABA-5E5E-4D28-A7E9-E1E032CAFF27}" uniqueName="4" name="email" queryTableFieldId="4" dataDxfId="9"/>
    <tableColumn id="5" xr3:uid="{B71191B8-D9C4-4A95-A97D-57B01D8C6F7E}" uniqueName="5" name="is_fornecedor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6D1A70-080A-46EA-801E-2C455C02BB40}" name="Produtos" displayName="Produtos" ref="A1:G2" tableType="queryTable" insertRow="1" totalsRowShown="0">
  <autoFilter ref="A1:G2" xr:uid="{4C6D1A70-080A-46EA-801E-2C455C02BB40}"/>
  <tableColumns count="7">
    <tableColumn id="1" xr3:uid="{132EAC57-2A38-42C5-BD49-BE54135ACF41}" uniqueName="1" name="id" queryTableFieldId="1"/>
    <tableColumn id="2" xr3:uid="{EB99C377-0CD9-4558-82E2-1F666B27615D}" uniqueName="2" name="codigo" queryTableFieldId="2" dataDxfId="8"/>
    <tableColumn id="3" xr3:uid="{CD586DF5-3606-458C-83B0-8BAEA6F5F7F1}" uniqueName="3" name="nome" queryTableFieldId="3" dataDxfId="7"/>
    <tableColumn id="4" xr3:uid="{2C3491CF-85DB-40BB-BEDD-D6C8688EC37F}" uniqueName="4" name="marca" queryTableFieldId="4" dataDxfId="6"/>
    <tableColumn id="5" xr3:uid="{776930BF-B46D-4E57-99D6-FAA4326E6C10}" uniqueName="5" name="tipo_produto" queryTableFieldId="5" dataDxfId="5"/>
    <tableColumn id="6" xr3:uid="{B5A75AA7-912A-46F4-AEA5-EBE19D6C249E}" uniqueName="6" name="preco" queryTableFieldId="6"/>
    <tableColumn id="7" xr3:uid="{80265694-AE27-4B53-AB72-551AF967ADB0}" uniqueName="7" name="em_estoqu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topLeftCell="B2" zoomScale="130" zoomScaleNormal="130" workbookViewId="0">
      <selection activeCell="D28" sqref="D28"/>
    </sheetView>
  </sheetViews>
  <sheetFormatPr defaultRowHeight="15" x14ac:dyDescent="0.25"/>
  <cols>
    <col min="1" max="1" width="7.5703125" hidden="1" customWidth="1"/>
    <col min="2" max="2" width="2.85546875" customWidth="1"/>
    <col min="6" max="6" width="23.42578125" customWidth="1"/>
  </cols>
  <sheetData>
    <row r="1" spans="1:6" x14ac:dyDescent="0.25">
      <c r="A1" t="s">
        <v>0</v>
      </c>
    </row>
    <row r="7" spans="1:6" x14ac:dyDescent="0.25">
      <c r="C7" s="3" t="s">
        <v>16</v>
      </c>
      <c r="D7" s="3"/>
      <c r="E7" s="3"/>
      <c r="F7" s="1">
        <f>SUM(Operacoes[valor])</f>
        <v>0</v>
      </c>
    </row>
  </sheetData>
  <mergeCells count="1">
    <mergeCell ref="C7:E7"/>
  </mergeCells>
  <conditionalFormatting sqref="F7">
    <cfRule type="cellIs" dxfId="2" priority="1" operator="greaterThan">
      <formula>0</formula>
    </cfRule>
    <cfRule type="cellIs" dxfId="1" priority="2" operator="less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5A944-3D90-4044-9D22-6B5ED28C00B3}">
  <sheetPr codeName="Sheet2">
    <tabColor theme="7" tint="0.39997558519241921"/>
  </sheetPr>
  <dimension ref="A1:I2"/>
  <sheetViews>
    <sheetView workbookViewId="0">
      <selection activeCell="C37" sqref="C37"/>
    </sheetView>
  </sheetViews>
  <sheetFormatPr defaultRowHeight="15" x14ac:dyDescent="0.25"/>
  <cols>
    <col min="1" max="1" width="5" bestFit="1" customWidth="1"/>
    <col min="2" max="2" width="12.7109375" bestFit="1" customWidth="1"/>
    <col min="3" max="3" width="7.7109375" bestFit="1" customWidth="1"/>
    <col min="4" max="4" width="18" bestFit="1" customWidth="1"/>
    <col min="5" max="5" width="16.140625" bestFit="1" customWidth="1"/>
    <col min="6" max="6" width="12.5703125" bestFit="1" customWidth="1"/>
    <col min="7" max="7" width="17.42578125" bestFit="1" customWidth="1"/>
    <col min="9" max="10" width="13.5703125" bestFit="1" customWidth="1"/>
    <col min="11" max="14" width="18.5703125" bestFit="1" customWidth="1"/>
    <col min="15" max="15" width="10.7109375" bestFit="1" customWidth="1"/>
  </cols>
  <sheetData>
    <row r="1" spans="1:9" x14ac:dyDescent="0.25">
      <c r="A1" t="s">
        <v>1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18</v>
      </c>
      <c r="I1" t="s">
        <v>17</v>
      </c>
    </row>
    <row r="2" spans="1:9" x14ac:dyDescent="0.25">
      <c r="F2" s="2"/>
      <c r="G2" s="2"/>
      <c r="I2" s="4"/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86A4-DC8D-4005-882E-C3ADDA568F5E}">
  <sheetPr codeName="Sheet3">
    <tabColor theme="7" tint="0.39997558519241921"/>
  </sheetPr>
  <dimension ref="A1:E1"/>
  <sheetViews>
    <sheetView workbookViewId="0">
      <selection activeCell="L28" sqref="K28:L28"/>
    </sheetView>
  </sheetViews>
  <sheetFormatPr defaultRowHeight="15" x14ac:dyDescent="0.25"/>
  <cols>
    <col min="1" max="1" width="5" bestFit="1" customWidth="1"/>
    <col min="2" max="2" width="8.42578125" bestFit="1" customWidth="1"/>
    <col min="3" max="3" width="11" bestFit="1" customWidth="1"/>
    <col min="4" max="4" width="8.28515625" bestFit="1" customWidth="1"/>
    <col min="5" max="5" width="15.7109375" bestFit="1" customWidth="1"/>
  </cols>
  <sheetData>
    <row r="1" spans="1:5" x14ac:dyDescent="0.25">
      <c r="A1" t="s">
        <v>1</v>
      </c>
      <c r="B1" t="s">
        <v>3</v>
      </c>
      <c r="C1" t="s">
        <v>8</v>
      </c>
      <c r="D1" t="s">
        <v>9</v>
      </c>
      <c r="E1" t="s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CCFD-8247-41B9-BCE4-44F44088B2A8}">
  <sheetPr codeName="Sheet4">
    <tabColor theme="7" tint="0.39997558519241921"/>
  </sheetPr>
  <dimension ref="A1:G1"/>
  <sheetViews>
    <sheetView tabSelected="1" workbookViewId="0">
      <selection activeCell="H12" sqref="H12"/>
    </sheetView>
  </sheetViews>
  <sheetFormatPr defaultRowHeight="15" x14ac:dyDescent="0.25"/>
  <cols>
    <col min="1" max="1" width="5" bestFit="1" customWidth="1"/>
    <col min="3" max="3" width="8.42578125" bestFit="1" customWidth="1"/>
    <col min="4" max="4" width="8.5703125" bestFit="1" customWidth="1"/>
    <col min="5" max="5" width="15" bestFit="1" customWidth="1"/>
    <col min="6" max="6" width="8.28515625" bestFit="1" customWidth="1"/>
    <col min="7" max="7" width="14.42578125" bestFit="1" customWidth="1"/>
  </cols>
  <sheetData>
    <row r="1" spans="1:7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</sheetData>
  <conditionalFormatting sqref="G1:G1048576">
    <cfRule type="cellIs" dxfId="0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F09B0-F96B-4D9B-95F8-507471EE2C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Config</vt:lpstr>
      <vt:lpstr>Operacoes</vt:lpstr>
      <vt:lpstr>Contatos</vt:lpstr>
      <vt:lpstr>Produtos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Bittencourt</dc:creator>
  <cp:lastModifiedBy>Lucas Bittencourt Rauch</cp:lastModifiedBy>
  <dcterms:created xsi:type="dcterms:W3CDTF">2015-06-05T18:17:20Z</dcterms:created>
  <dcterms:modified xsi:type="dcterms:W3CDTF">2025-06-07T19:28:51Z</dcterms:modified>
</cp:coreProperties>
</file>