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ucas\source\repos\PDV_Xavier\Public\"/>
    </mc:Choice>
  </mc:AlternateContent>
  <xr:revisionPtr revIDLastSave="0" documentId="13_ncr:1_{08C5949C-C0BD-455C-88DA-54C1E266DFC1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Config" sheetId="1" r:id="rId1"/>
    <sheet name="Operacoes" sheetId="6" r:id="rId2"/>
    <sheet name="Contatos" sheetId="5" r:id="rId3"/>
    <sheet name="Produtos" sheetId="4" r:id="rId4"/>
  </sheets>
  <definedNames>
    <definedName name="Config">Config!$A$1</definedName>
    <definedName name="ExternalData_1" localSheetId="3" hidden="1">Produtos!$A$1:$G$5</definedName>
    <definedName name="ExternalData_2" localSheetId="2" hidden="1">'Contatos'!$A$1:$E$5</definedName>
    <definedName name="ExternalData_3" localSheetId="1" hidden="1">Operacoes!$A$1:$F$70</definedName>
  </definedNames>
  <calcPr calcId="191029"/>
  <pivotCaches>
    <pivotCache cacheId="113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6" l="1"/>
  <c r="G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F7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5C13F9D-F398-4CF3-AA1A-B90329193648}" keepAlive="1" name="Query - Contatos" description="Connection to the 'Contatos' query in the workbook." type="5" refreshedVersion="8" background="1" saveData="1">
    <dbPr connection="Provider=Microsoft.Mashup.OleDb.1;Data Source=$Workbook$;Location=Contatos;Extended Properties=&quot;&quot;" command="SELECT * FROM [Contatos]"/>
  </connection>
  <connection id="2" xr16:uid="{486DB49A-7DE9-4D55-BF51-A58593E6A33A}" keepAlive="1" name="Query - DataSource" description="Connection to the 'DataSource' query in the workbook." type="5" refreshedVersion="0" background="1">
    <dbPr connection="Provider=Microsoft.Mashup.OleDb.1;Data Source=$Workbook$;Location=DataSource;Extended Properties=&quot;&quot;" command="SELECT * FROM [DataSource]"/>
  </connection>
  <connection id="3" xr16:uid="{3B410141-66AA-4DC6-A985-8F0E4B11B851}" keepAlive="1" name="Query - Operacoes" description="Connection to the 'Operacoes' query in the workbook." type="5" refreshedVersion="8" background="1" saveData="1">
    <dbPr connection="Provider=Microsoft.Mashup.OleDb.1;Data Source=$Workbook$;Location=Operacoes;Extended Properties=&quot;&quot;" command="SELECT * FROM [Operacoes]"/>
  </connection>
  <connection id="4" xr16:uid="{309AD7BE-B8BD-4262-9F92-8B244C9C972B}" keepAlive="1" name="Query - Produtos" description="Connection to the 'Produtos' query in the workbook." type="5" refreshedVersion="8" background="1" saveData="1">
    <dbPr connection="Provider=Microsoft.Mashup.OleDb.1;Data Source=$Workbook$;Location=Produtos;Extended Properties=&quot;&quot;" command="SELECT * FROM [Produtos]"/>
  </connection>
</connections>
</file>

<file path=xl/sharedStrings.xml><?xml version="1.0" encoding="utf-8"?>
<sst xmlns="http://schemas.openxmlformats.org/spreadsheetml/2006/main" count="266" uniqueCount="127">
  <si>
    <t>C:\Users\lucas\source\repos\PDV_Xavier\Public\DB_PDVGP.db</t>
  </si>
  <si>
    <t>id</t>
  </si>
  <si>
    <t>codigo</t>
  </si>
  <si>
    <t>nome</t>
  </si>
  <si>
    <t>marca</t>
  </si>
  <si>
    <t>tipo_produto</t>
  </si>
  <si>
    <t>preco</t>
  </si>
  <si>
    <t>em_estoque</t>
  </si>
  <si>
    <t>12345612</t>
  </si>
  <si>
    <t>Coca 200ml</t>
  </si>
  <si>
    <t>Coca Cola</t>
  </si>
  <si>
    <t>Refrigerante</t>
  </si>
  <si>
    <t>1234568</t>
  </si>
  <si>
    <t>Coca 1L</t>
  </si>
  <si>
    <t>11111111</t>
  </si>
  <si>
    <t>Produto de teste</t>
  </si>
  <si>
    <t>Tio João</t>
  </si>
  <si>
    <t>Arroz</t>
  </si>
  <si>
    <t>12312312</t>
  </si>
  <si>
    <t>produto aaa</t>
  </si>
  <si>
    <t>telefone</t>
  </si>
  <si>
    <t>email</t>
  </si>
  <si>
    <t>is_fornecedor</t>
  </si>
  <si>
    <t>Joaozinho</t>
  </si>
  <si>
    <t>(48) 96544-1210</t>
  </si>
  <si>
    <t>joao@silva.com</t>
  </si>
  <si>
    <t>Roberto</t>
  </si>
  <si>
    <t>(12) 34567-8451</t>
  </si>
  <si>
    <t>Email_fodace</t>
  </si>
  <si>
    <t>Agua e gas do robertão</t>
  </si>
  <si>
    <t>(48) 71212-1213</t>
  </si>
  <si>
    <t>robertao@gmail.com</t>
  </si>
  <si>
    <t>GP</t>
  </si>
  <si>
    <t>(51)  8030-4339</t>
  </si>
  <si>
    <t>naoseioemaildogp@gmail.com</t>
  </si>
  <si>
    <t>id_contato</t>
  </si>
  <si>
    <t>valor</t>
  </si>
  <si>
    <t>tipo_pagamento</t>
  </si>
  <si>
    <t>tipo_operacao</t>
  </si>
  <si>
    <t>criado_em</t>
  </si>
  <si>
    <t>Pix</t>
  </si>
  <si>
    <t>Restoque</t>
  </si>
  <si>
    <t>07/06/2025 01:48:36</t>
  </si>
  <si>
    <t>07/06/2025 01:48:45</t>
  </si>
  <si>
    <t>Venda</t>
  </si>
  <si>
    <t>07/06/2025 01:48:58</t>
  </si>
  <si>
    <t>Movimentação Total:</t>
  </si>
  <si>
    <t>Rótulos de Linha</t>
  </si>
  <si>
    <t>Total Geral</t>
  </si>
  <si>
    <t>Soma de valor</t>
  </si>
  <si>
    <t>data_formatada</t>
  </si>
  <si>
    <t>Dinheiro</t>
  </si>
  <si>
    <t>07/06/2025 10:15:22</t>
  </si>
  <si>
    <t>Crédito</t>
  </si>
  <si>
    <t>07/06/2025 14:08:01</t>
  </si>
  <si>
    <t>Débito</t>
  </si>
  <si>
    <t>07/06/2025 15:20:12</t>
  </si>
  <si>
    <t>07/06/2025 17:05:45</t>
  </si>
  <si>
    <t>Pendente</t>
  </si>
  <si>
    <t>07/06/2025 19:43:11</t>
  </si>
  <si>
    <t>2025-06-01 09:12:33</t>
  </si>
  <si>
    <t>2025-06-02 14:22:10</t>
  </si>
  <si>
    <t>2025-06-03 11:47:05</t>
  </si>
  <si>
    <t>2025-06-04 16:00:00</t>
  </si>
  <si>
    <t>2025-06-05 08:05:45</t>
  </si>
  <si>
    <t>2025-06-06 13:33:21</t>
  </si>
  <si>
    <t>2025-06-06 18:47:12</t>
  </si>
  <si>
    <t>2025-06-07 09:10:58</t>
  </si>
  <si>
    <t>2025-06-08 10:25:00</t>
  </si>
  <si>
    <t>2025-06-09 15:15:15</t>
  </si>
  <si>
    <t>2025-06-09 19:45:33</t>
  </si>
  <si>
    <t>2025-06-10 11:22:10</t>
  </si>
  <si>
    <t>2025-06-10 16:30:00</t>
  </si>
  <si>
    <t>2025-06-11 12:44:44</t>
  </si>
  <si>
    <t>2025-06-11 17:17:17</t>
  </si>
  <si>
    <t>2025</t>
  </si>
  <si>
    <t>jun</t>
  </si>
  <si>
    <t>2025-01-05 09:12:33</t>
  </si>
  <si>
    <t>2025-01-22 14:22:10</t>
  </si>
  <si>
    <t>2025-02-03 11:47:05</t>
  </si>
  <si>
    <t>2025-02-15 16:00:00</t>
  </si>
  <si>
    <t>2025-03-01 08:05:45</t>
  </si>
  <si>
    <t>2025-03-12 13:33:21</t>
  </si>
  <si>
    <t>2025-03-25 18:47:12</t>
  </si>
  <si>
    <t>2025-04-03 09:10:58</t>
  </si>
  <si>
    <t>2025-04-18 10:25:00</t>
  </si>
  <si>
    <t>2025-05-07 15:15:15</t>
  </si>
  <si>
    <t>2025-05-19 19:45:33</t>
  </si>
  <si>
    <t>2025-06-01 11:22:10</t>
  </si>
  <si>
    <t>2025-06-05 16:30:00</t>
  </si>
  <si>
    <t>2025-06-06 12:44:44</t>
  </si>
  <si>
    <t>2025-06-07 17:17:17</t>
  </si>
  <si>
    <t>jan</t>
  </si>
  <si>
    <t>fev</t>
  </si>
  <si>
    <t>mar</t>
  </si>
  <si>
    <t>abr</t>
  </si>
  <si>
    <t>mai</t>
  </si>
  <si>
    <t>2025-01-03 08:12:10</t>
  </si>
  <si>
    <t>2025-01-07 10:30:55</t>
  </si>
  <si>
    <t>2025-01-15 15:44:33</t>
  </si>
  <si>
    <t>2025-01-22 17:15:00</t>
  </si>
  <si>
    <t>2025-01-30 13:05:42</t>
  </si>
  <si>
    <t>2025-02-04 12:20:21</t>
  </si>
  <si>
    <t>2025-02-08 14:50:10</t>
  </si>
  <si>
    <t>2025-02-14 09:45:32</t>
  </si>
  <si>
    <t>2025-02-18 11:11:11</t>
  </si>
  <si>
    <t>2025-02-25 17:03:20</t>
  </si>
  <si>
    <t>2025-03-02 10:10:10</t>
  </si>
  <si>
    <t>2025-03-05 15:00:00</t>
  </si>
  <si>
    <t>2025-03-09 16:25:35</t>
  </si>
  <si>
    <t>2025-03-13 18:12:12</t>
  </si>
  <si>
    <t>2025-03-21 13:33:33</t>
  </si>
  <si>
    <t>2025-04-01 09:09:09</t>
  </si>
  <si>
    <t>2025-04-06 10:20:20</t>
  </si>
  <si>
    <t>2025-04-10 11:45:45</t>
  </si>
  <si>
    <t>2025-04-14 14:14:14</t>
  </si>
  <si>
    <t>2025-04-20 17:30:00</t>
  </si>
  <si>
    <t>2025-05-01 08:08:08</t>
  </si>
  <si>
    <t>2025-05-03 09:45:45</t>
  </si>
  <si>
    <t>2025-05-07 11:11:00</t>
  </si>
  <si>
    <t>2025-05-10 14:00:00</t>
  </si>
  <si>
    <t>2025-05-15 15:45:45</t>
  </si>
  <si>
    <t>2025-05-17 17:00:00</t>
  </si>
  <si>
    <t>2025-05-20 18:30:00</t>
  </si>
  <si>
    <t>2025-05-25 12:34:56</t>
  </si>
  <si>
    <t>2025-05-28 16:16:16</t>
  </si>
  <si>
    <t>2025-05-30 19:19:19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</si>
</sst>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R$&quot;\ #,##0.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164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0" fontId="0" fillId="0" borderId="0" xfId="0" pivotButton="1"/>
    <xf numFmtId="0" fontId="0" fillId="0" borderId="0" xfId="0" applyAlignment="1">
      <alignment horizontal="left" indent="1"/>
    </xf>
    <xf numFmtId="0" fontId="0" fillId="0" borderId="0" xfId="0" applyNumberFormat="1"/>
    <xf numFmtId="14" fontId="0" fillId="0" borderId="0" xfId="0" applyNumberFormat="1"/>
  </cellXfs>
  <cellStyles count="1">
    <cellStyle name="Normal" xfId="0" builtinId="0"/>
  </cellStyles>
  <dxfs count="14">
    <dxf>
      <numFmt numFmtId="19" formatCode="dd/mm/yyyy"/>
    </dxf>
    <dxf>
      <numFmt numFmtId="19" formatCode="dd/mm/yyyy"/>
    </dxf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pivotCacheDefinition" Target="pivotCache/pivotCacheDefinition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[DashBoard.xlsm]Operacoes!Tabela dinâmica3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Lucro</a:t>
            </a:r>
            <a:r>
              <a:rPr lang="en-US" baseline="0"/>
              <a:t> mensal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Operacoes!$J$1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Operacoes!$I$2:$I$9</c:f>
              <c:multiLvlStrCache>
                <c:ptCount val="6"/>
                <c:lvl>
                  <c:pt idx="0">
                    <c:v>jan</c:v>
                  </c:pt>
                  <c:pt idx="1">
                    <c:v>fev</c:v>
                  </c:pt>
                  <c:pt idx="2">
                    <c:v>mar</c:v>
                  </c:pt>
                  <c:pt idx="3">
                    <c:v>abr</c:v>
                  </c:pt>
                  <c:pt idx="4">
                    <c:v>mai</c:v>
                  </c:pt>
                  <c:pt idx="5">
                    <c:v>jun</c:v>
                  </c:pt>
                </c:lvl>
                <c:lvl>
                  <c:pt idx="0">
                    <c:v>2025</c:v>
                  </c:pt>
                </c:lvl>
              </c:multiLvlStrCache>
            </c:multiLvlStrRef>
          </c:cat>
          <c:val>
            <c:numRef>
              <c:f>Operacoes!$J$2:$J$9</c:f>
              <c:numCache>
                <c:formatCode>General</c:formatCode>
                <c:ptCount val="6"/>
                <c:pt idx="0">
                  <c:v>735</c:v>
                </c:pt>
                <c:pt idx="1">
                  <c:v>849.4</c:v>
                </c:pt>
                <c:pt idx="2">
                  <c:v>1496.65</c:v>
                </c:pt>
                <c:pt idx="3">
                  <c:v>674.55</c:v>
                </c:pt>
                <c:pt idx="4">
                  <c:v>1612</c:v>
                </c:pt>
                <c:pt idx="5">
                  <c:v>-4759.2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35-4157-9DDB-C7322C991B1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575793263"/>
        <c:axId val="575780783"/>
      </c:barChart>
      <c:catAx>
        <c:axId val="5757932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80783"/>
        <c:crosses val="autoZero"/>
        <c:auto val="1"/>
        <c:lblAlgn val="ctr"/>
        <c:lblOffset val="100"/>
        <c:noMultiLvlLbl val="0"/>
      </c:catAx>
      <c:valAx>
        <c:axId val="575780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932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</xdr:colOff>
      <xdr:row>1</xdr:row>
      <xdr:rowOff>0</xdr:rowOff>
    </xdr:from>
    <xdr:to>
      <xdr:col>4</xdr:col>
      <xdr:colOff>1</xdr:colOff>
      <xdr:row>3</xdr:row>
      <xdr:rowOff>0</xdr:rowOff>
    </xdr:to>
    <xdr:sp macro="[0]!SelecionarArquivoComPathCompleto" textlink="">
      <xdr:nvSpPr>
        <xdr:cNvPr id="2" name="Rectangle 1">
          <a:extLst>
            <a:ext uri="{FF2B5EF4-FFF2-40B4-BE49-F238E27FC236}">
              <a16:creationId xmlns:a16="http://schemas.microsoft.com/office/drawing/2014/main" id="{6A18DAA6-3321-1428-B980-E56BA0D86A01}"/>
            </a:ext>
          </a:extLst>
        </xdr:cNvPr>
        <xdr:cNvSpPr/>
      </xdr:nvSpPr>
      <xdr:spPr>
        <a:xfrm>
          <a:off x="190501" y="190500"/>
          <a:ext cx="1225826" cy="381000"/>
        </a:xfrm>
        <a:prstGeom prst="rect">
          <a:avLst/>
        </a:prstGeom>
        <a:solidFill>
          <a:schemeClr val="tx2">
            <a:lumMod val="50000"/>
          </a:schemeClr>
        </a:solidFill>
        <a:ln w="19050">
          <a:solidFill>
            <a:schemeClr val="bg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400" b="1"/>
            <a:t>Abrir</a:t>
          </a:r>
          <a:r>
            <a:rPr lang="en-CA" sz="1400" b="1" baseline="0"/>
            <a:t> banco</a:t>
          </a:r>
        </a:p>
      </xdr:txBody>
    </xdr:sp>
    <xdr:clientData/>
  </xdr:twoCellAnchor>
  <xdr:twoCellAnchor>
    <xdr:from>
      <xdr:col>4</xdr:col>
      <xdr:colOff>181262</xdr:colOff>
      <xdr:row>1</xdr:row>
      <xdr:rowOff>8741</xdr:rowOff>
    </xdr:from>
    <xdr:to>
      <xdr:col>4</xdr:col>
      <xdr:colOff>579783</xdr:colOff>
      <xdr:row>3</xdr:row>
      <xdr:rowOff>8258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12E6AC48-5DA3-95D8-3105-2CB8DE78A6D9}"/>
            </a:ext>
          </a:extLst>
        </xdr:cNvPr>
        <xdr:cNvGrpSpPr/>
      </xdr:nvGrpSpPr>
      <xdr:grpSpPr>
        <a:xfrm>
          <a:off x="1597588" y="199241"/>
          <a:ext cx="398521" cy="380517"/>
          <a:chOff x="2421295" y="840988"/>
          <a:chExt cx="996392" cy="952500"/>
        </a:xfrm>
      </xdr:grpSpPr>
      <xdr:sp macro="[0]!RefreshAll" textlink="">
        <xdr:nvSpPr>
          <xdr:cNvPr id="4" name="Block Arc 3">
            <a:extLst>
              <a:ext uri="{FF2B5EF4-FFF2-40B4-BE49-F238E27FC236}">
                <a16:creationId xmlns:a16="http://schemas.microsoft.com/office/drawing/2014/main" id="{930B3400-B9FF-7A57-63FC-F55552F326EF}"/>
              </a:ext>
            </a:extLst>
          </xdr:cNvPr>
          <xdr:cNvSpPr/>
        </xdr:nvSpPr>
        <xdr:spPr>
          <a:xfrm>
            <a:off x="2456703" y="840988"/>
            <a:ext cx="960984" cy="952500"/>
          </a:xfrm>
          <a:prstGeom prst="blockArc">
            <a:avLst>
              <a:gd name="adj1" fmla="val 10800000"/>
              <a:gd name="adj2" fmla="val 7360162"/>
              <a:gd name="adj3" fmla="val 15678"/>
            </a:avLst>
          </a:prstGeom>
        </xdr:spPr>
        <xdr:style>
          <a:lnRef idx="2">
            <a:schemeClr val="accent6">
              <a:shade val="15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CA" sz="1100">
              <a:solidFill>
                <a:schemeClr val="tx1"/>
              </a:solidFill>
            </a:endParaRPr>
          </a:p>
        </xdr:txBody>
      </xdr:sp>
      <xdr:sp macro="[0]!RefreshAll" textlink="">
        <xdr:nvSpPr>
          <xdr:cNvPr id="9" name="Isosceles Triangle 8">
            <a:extLst>
              <a:ext uri="{FF2B5EF4-FFF2-40B4-BE49-F238E27FC236}">
                <a16:creationId xmlns:a16="http://schemas.microsoft.com/office/drawing/2014/main" id="{6036FF01-6B9E-99BD-F9DD-7903313348D7}"/>
              </a:ext>
            </a:extLst>
          </xdr:cNvPr>
          <xdr:cNvSpPr/>
        </xdr:nvSpPr>
        <xdr:spPr>
          <a:xfrm rot="18259643">
            <a:off x="2398422" y="1414575"/>
            <a:ext cx="362416" cy="316669"/>
          </a:xfrm>
          <a:prstGeom prst="triangle">
            <a:avLst/>
          </a:prstGeom>
        </xdr:spPr>
        <xdr:style>
          <a:lnRef idx="2">
            <a:schemeClr val="accent6">
              <a:shade val="15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CA" sz="1100"/>
          </a:p>
        </xdr:txBody>
      </xdr:sp>
    </xdr:grpSp>
    <xdr:clientData/>
  </xdr:twoCellAnchor>
  <xdr:twoCellAnchor>
    <xdr:from>
      <xdr:col>6</xdr:col>
      <xdr:colOff>0</xdr:colOff>
      <xdr:row>10</xdr:row>
      <xdr:rowOff>0</xdr:rowOff>
    </xdr:from>
    <xdr:to>
      <xdr:col>15</xdr:col>
      <xdr:colOff>339586</xdr:colOff>
      <xdr:row>27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DA497D0F-6214-4620-B159-0B939081A1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cas Bittencourt" refreshedDate="45815.637267129627" createdVersion="8" refreshedVersion="8" minRefreshableVersion="3" recordCount="69" xr:uid="{45525607-B240-41FD-A3E6-3210373A7F66}">
  <cacheSource type="worksheet">
    <worksheetSource name="Operacoes"/>
  </cacheSource>
  <cacheFields count="9">
    <cacheField name="id" numFmtId="0">
      <sharedItems containsSemiMixedTypes="0" containsString="0" containsNumber="1" containsInteger="1" minValue="1" maxValue="71"/>
    </cacheField>
    <cacheField name="id_contato" numFmtId="0">
      <sharedItems containsSemiMixedTypes="0" containsString="0" containsNumber="1" containsInteger="1" minValue="1" maxValue="4"/>
    </cacheField>
    <cacheField name="valor" numFmtId="0">
      <sharedItems containsSemiMixedTypes="0" containsString="0" containsNumber="1" minValue="-8102" maxValue="8102"/>
    </cacheField>
    <cacheField name="tipo_pagamento" numFmtId="0">
      <sharedItems/>
    </cacheField>
    <cacheField name="tipo_operacao" numFmtId="0">
      <sharedItems/>
    </cacheField>
    <cacheField name="criado_em" numFmtId="14">
      <sharedItems/>
    </cacheField>
    <cacheField name="data_formatada" numFmtId="14">
      <sharedItems containsSemiMixedTypes="0" containsNonDate="0" containsDate="1" containsString="0" minDate="2025-01-03T00:00:00" maxDate="2025-06-12T00:00:00" count="50">
        <d v="2025-06-07T00:00:00"/>
        <d v="2025-06-01T00:00:00"/>
        <d v="2025-06-02T00:00:00"/>
        <d v="2025-06-03T00:00:00"/>
        <d v="2025-06-04T00:00:00"/>
        <d v="2025-06-05T00:00:00"/>
        <d v="2025-06-06T00:00:00"/>
        <d v="2025-06-08T00:00:00"/>
        <d v="2025-06-09T00:00:00"/>
        <d v="2025-06-10T00:00:00"/>
        <d v="2025-06-11T00:00:00"/>
        <d v="2025-01-05T00:00:00"/>
        <d v="2025-01-22T00:00:00"/>
        <d v="2025-02-03T00:00:00"/>
        <d v="2025-02-15T00:00:00"/>
        <d v="2025-03-01T00:00:00"/>
        <d v="2025-03-12T00:00:00"/>
        <d v="2025-03-25T00:00:00"/>
        <d v="2025-04-03T00:00:00"/>
        <d v="2025-04-18T00:00:00"/>
        <d v="2025-05-07T00:00:00"/>
        <d v="2025-05-19T00:00:00"/>
        <d v="2025-01-03T00:00:00"/>
        <d v="2025-01-07T00:00:00"/>
        <d v="2025-01-15T00:00:00"/>
        <d v="2025-01-30T00:00:00"/>
        <d v="2025-02-04T00:00:00"/>
        <d v="2025-02-08T00:00:00"/>
        <d v="2025-02-14T00:00:00"/>
        <d v="2025-02-18T00:00:00"/>
        <d v="2025-02-25T00:00:00"/>
        <d v="2025-03-02T00:00:00"/>
        <d v="2025-03-05T00:00:00"/>
        <d v="2025-03-09T00:00:00"/>
        <d v="2025-03-13T00:00:00"/>
        <d v="2025-03-21T00:00:00"/>
        <d v="2025-04-01T00:00:00"/>
        <d v="2025-04-06T00:00:00"/>
        <d v="2025-04-10T00:00:00"/>
        <d v="2025-04-14T00:00:00"/>
        <d v="2025-04-20T00:00:00"/>
        <d v="2025-05-01T00:00:00"/>
        <d v="2025-05-03T00:00:00"/>
        <d v="2025-05-10T00:00:00"/>
        <d v="2025-05-15T00:00:00"/>
        <d v="2025-05-17T00:00:00"/>
        <d v="2025-05-20T00:00:00"/>
        <d v="2025-05-25T00:00:00"/>
        <d v="2025-05-28T00:00:00"/>
        <d v="2025-05-30T00:00:00"/>
      </sharedItems>
      <fieldGroup par="8"/>
    </cacheField>
    <cacheField name="Meses (data_formatada)" numFmtId="0" databaseField="0">
      <fieldGroup base="6">
        <rangePr groupBy="months" startDate="2025-01-03T00:00:00" endDate="2025-06-12T00:00:00"/>
        <groupItems count="14">
          <s v="&lt;03/01/2025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12/06/2025"/>
        </groupItems>
      </fieldGroup>
    </cacheField>
    <cacheField name="Anos (data_formatada)" numFmtId="0" databaseField="0">
      <fieldGroup base="6">
        <rangePr groupBy="years" startDate="2025-01-03T00:00:00" endDate="2025-06-12T00:00:00"/>
        <groupItems count="3">
          <s v="&lt;03/01/2025"/>
          <s v="2025"/>
          <s v="&gt;12/06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9">
  <r>
    <n v="1"/>
    <n v="3"/>
    <n v="-8000"/>
    <s v="Pix"/>
    <s v="Restoque"/>
    <s v="07/06/2025 01:48:36"/>
    <x v="0"/>
  </r>
  <r>
    <n v="2"/>
    <n v="3"/>
    <n v="-8102"/>
    <s v="Pix"/>
    <s v="Restoque"/>
    <s v="07/06/2025 01:48:45"/>
    <x v="0"/>
  </r>
  <r>
    <n v="3"/>
    <n v="2"/>
    <n v="8102"/>
    <s v="Pix"/>
    <s v="Venda"/>
    <s v="07/06/2025 01:48:58"/>
    <x v="0"/>
  </r>
  <r>
    <n v="6"/>
    <n v="1"/>
    <n v="150.75"/>
    <s v="Pix"/>
    <s v="Venda"/>
    <s v="07/06/2025 01:48:36"/>
    <x v="0"/>
  </r>
  <r>
    <n v="7"/>
    <n v="2"/>
    <n v="80"/>
    <s v="Dinheiro"/>
    <s v="Venda"/>
    <s v="07/06/2025 10:15:22"/>
    <x v="0"/>
  </r>
  <r>
    <n v="8"/>
    <n v="4"/>
    <n v="210"/>
    <s v="Crédito"/>
    <s v="Venda"/>
    <s v="07/06/2025 14:08:01"/>
    <x v="0"/>
  </r>
  <r>
    <n v="9"/>
    <n v="1"/>
    <n v="-120.5"/>
    <s v="Débito"/>
    <s v="Restoque"/>
    <s v="07/06/2025 15:20:12"/>
    <x v="0"/>
  </r>
  <r>
    <n v="10"/>
    <n v="2"/>
    <n v="-90"/>
    <s v="Pix"/>
    <s v="Restoque"/>
    <s v="07/06/2025 17:05:45"/>
    <x v="0"/>
  </r>
  <r>
    <n v="11"/>
    <n v="4"/>
    <n v="300"/>
    <s v="Pendente"/>
    <s v="Venda"/>
    <s v="07/06/2025 19:43:11"/>
    <x v="0"/>
  </r>
  <r>
    <n v="12"/>
    <n v="1"/>
    <n v="200"/>
    <s v="Pix"/>
    <s v="Venda"/>
    <s v="2025-06-01 09:12:33"/>
    <x v="1"/>
  </r>
  <r>
    <n v="13"/>
    <n v="2"/>
    <n v="-75.5"/>
    <s v="Débito"/>
    <s v="Restoque"/>
    <s v="2025-06-02 14:22:10"/>
    <x v="2"/>
  </r>
  <r>
    <n v="14"/>
    <n v="4"/>
    <n v="320"/>
    <s v="Crédito"/>
    <s v="Venda"/>
    <s v="2025-06-03 11:47:05"/>
    <x v="3"/>
  </r>
  <r>
    <n v="15"/>
    <n v="2"/>
    <n v="-150"/>
    <s v="Dinheiro"/>
    <s v="Restoque"/>
    <s v="2025-06-04 16:00:00"/>
    <x v="4"/>
  </r>
  <r>
    <n v="16"/>
    <n v="1"/>
    <n v="450.75"/>
    <s v="Pix"/>
    <s v="Venda"/>
    <s v="2025-06-05 08:05:45"/>
    <x v="5"/>
  </r>
  <r>
    <n v="17"/>
    <n v="4"/>
    <n v="290"/>
    <s v="Pendente"/>
    <s v="Venda"/>
    <s v="2025-06-06 13:33:21"/>
    <x v="6"/>
  </r>
  <r>
    <n v="18"/>
    <n v="2"/>
    <n v="-95"/>
    <s v="Pix"/>
    <s v="Restoque"/>
    <s v="2025-06-06 18:47:12"/>
    <x v="6"/>
  </r>
  <r>
    <n v="19"/>
    <n v="1"/>
    <n v="110.5"/>
    <s v="Débito"/>
    <s v="Venda"/>
    <s v="2025-06-07 09:10:58"/>
    <x v="0"/>
  </r>
  <r>
    <n v="20"/>
    <n v="4"/>
    <n v="-130.19999999999999"/>
    <s v="Dinheiro"/>
    <s v="Restoque"/>
    <s v="2025-06-08 10:25:00"/>
    <x v="7"/>
  </r>
  <r>
    <n v="21"/>
    <n v="2"/>
    <n v="500"/>
    <s v="Crédito"/>
    <s v="Venda"/>
    <s v="2025-06-09 15:15:15"/>
    <x v="8"/>
  </r>
  <r>
    <n v="22"/>
    <n v="1"/>
    <n v="-120"/>
    <s v="Pix"/>
    <s v="Restoque"/>
    <s v="2025-06-09 19:45:33"/>
    <x v="8"/>
  </r>
  <r>
    <n v="23"/>
    <n v="4"/>
    <n v="210"/>
    <s v="Dinheiro"/>
    <s v="Venda"/>
    <s v="2025-06-10 11:22:10"/>
    <x v="9"/>
  </r>
  <r>
    <n v="24"/>
    <n v="1"/>
    <n v="375"/>
    <s v="Crédito"/>
    <s v="Venda"/>
    <s v="2025-06-10 16:30:00"/>
    <x v="9"/>
  </r>
  <r>
    <n v="25"/>
    <n v="2"/>
    <n v="-60"/>
    <s v="Débito"/>
    <s v="Restoque"/>
    <s v="2025-06-11 12:44:44"/>
    <x v="10"/>
  </r>
  <r>
    <n v="26"/>
    <n v="4"/>
    <n v="180"/>
    <s v="Pix"/>
    <s v="Venda"/>
    <s v="2025-06-11 17:17:17"/>
    <x v="10"/>
  </r>
  <r>
    <n v="27"/>
    <n v="1"/>
    <n v="250"/>
    <s v="Pix"/>
    <s v="Venda"/>
    <s v="2025-01-05 09:12:33"/>
    <x v="11"/>
  </r>
  <r>
    <n v="28"/>
    <n v="2"/>
    <n v="-80.5"/>
    <s v="Débito"/>
    <s v="Restoque"/>
    <s v="2025-01-22 14:22:10"/>
    <x v="12"/>
  </r>
  <r>
    <n v="29"/>
    <n v="4"/>
    <n v="300"/>
    <s v="Crédito"/>
    <s v="Venda"/>
    <s v="2025-02-03 11:47:05"/>
    <x v="13"/>
  </r>
  <r>
    <n v="30"/>
    <n v="2"/>
    <n v="-140"/>
    <s v="Dinheiro"/>
    <s v="Restoque"/>
    <s v="2025-02-15 16:00:00"/>
    <x v="14"/>
  </r>
  <r>
    <n v="31"/>
    <n v="1"/>
    <n v="470.75"/>
    <s v="Pix"/>
    <s v="Venda"/>
    <s v="2025-03-01 08:05:45"/>
    <x v="15"/>
  </r>
  <r>
    <n v="32"/>
    <n v="4"/>
    <n v="310"/>
    <s v="Pendente"/>
    <s v="Venda"/>
    <s v="2025-03-12 13:33:21"/>
    <x v="16"/>
  </r>
  <r>
    <n v="33"/>
    <n v="2"/>
    <n v="-90"/>
    <s v="Pix"/>
    <s v="Restoque"/>
    <s v="2025-03-25 18:47:12"/>
    <x v="17"/>
  </r>
  <r>
    <n v="34"/>
    <n v="1"/>
    <n v="120.5"/>
    <s v="Débito"/>
    <s v="Venda"/>
    <s v="2025-04-03 09:10:58"/>
    <x v="18"/>
  </r>
  <r>
    <n v="35"/>
    <n v="4"/>
    <n v="-125.2"/>
    <s v="Dinheiro"/>
    <s v="Restoque"/>
    <s v="2025-04-18 10:25:00"/>
    <x v="19"/>
  </r>
  <r>
    <n v="36"/>
    <n v="2"/>
    <n v="520"/>
    <s v="Crédito"/>
    <s v="Venda"/>
    <s v="2025-05-07 15:15:15"/>
    <x v="20"/>
  </r>
  <r>
    <n v="37"/>
    <n v="1"/>
    <n v="-115"/>
    <s v="Pix"/>
    <s v="Restoque"/>
    <s v="2025-05-19 19:45:33"/>
    <x v="21"/>
  </r>
  <r>
    <n v="38"/>
    <n v="4"/>
    <n v="230"/>
    <s v="Dinheiro"/>
    <s v="Venda"/>
    <s v="2025-06-01 11:22:10"/>
    <x v="1"/>
  </r>
  <r>
    <n v="39"/>
    <n v="1"/>
    <n v="360"/>
    <s v="Crédito"/>
    <s v="Venda"/>
    <s v="2025-06-05 16:30:00"/>
    <x v="5"/>
  </r>
  <r>
    <n v="40"/>
    <n v="2"/>
    <n v="-75"/>
    <s v="Débito"/>
    <s v="Restoque"/>
    <s v="2025-06-06 12:44:44"/>
    <x v="6"/>
  </r>
  <r>
    <n v="41"/>
    <n v="4"/>
    <n v="190"/>
    <s v="Pix"/>
    <s v="Venda"/>
    <s v="2025-06-07 17:17:17"/>
    <x v="0"/>
  </r>
  <r>
    <n v="42"/>
    <n v="1"/>
    <n v="210"/>
    <s v="Pix"/>
    <s v="Venda"/>
    <s v="2025-01-03 08:12:10"/>
    <x v="22"/>
  </r>
  <r>
    <n v="43"/>
    <n v="2"/>
    <n v="-75"/>
    <s v="Débito"/>
    <s v="Restoque"/>
    <s v="2025-01-07 10:30:55"/>
    <x v="23"/>
  </r>
  <r>
    <n v="44"/>
    <n v="4"/>
    <n v="300.5"/>
    <s v="Dinheiro"/>
    <s v="Venda"/>
    <s v="2025-01-15 15:44:33"/>
    <x v="24"/>
  </r>
  <r>
    <n v="45"/>
    <n v="1"/>
    <n v="-120"/>
    <s v="Crédito"/>
    <s v="Restoque"/>
    <s v="2025-01-22 17:15:00"/>
    <x v="12"/>
  </r>
  <r>
    <n v="46"/>
    <n v="2"/>
    <n v="250"/>
    <s v="Pix"/>
    <s v="Venda"/>
    <s v="2025-01-30 13:05:42"/>
    <x v="25"/>
  </r>
  <r>
    <n v="47"/>
    <n v="4"/>
    <n v="410"/>
    <s v="Pendente"/>
    <s v="Venda"/>
    <s v="2025-02-04 12:20:21"/>
    <x v="26"/>
  </r>
  <r>
    <n v="48"/>
    <n v="2"/>
    <n v="-95.6"/>
    <s v="Débito"/>
    <s v="Restoque"/>
    <s v="2025-02-08 14:50:10"/>
    <x v="27"/>
  </r>
  <r>
    <n v="49"/>
    <n v="1"/>
    <n v="180"/>
    <s v="Crédito"/>
    <s v="Venda"/>
    <s v="2025-02-14 09:45:32"/>
    <x v="28"/>
  </r>
  <r>
    <n v="50"/>
    <n v="4"/>
    <n v="-130"/>
    <s v="Pix"/>
    <s v="Restoque"/>
    <s v="2025-02-18 11:11:11"/>
    <x v="29"/>
  </r>
  <r>
    <n v="51"/>
    <n v="2"/>
    <n v="325"/>
    <s v="Dinheiro"/>
    <s v="Venda"/>
    <s v="2025-02-25 17:03:20"/>
    <x v="30"/>
  </r>
  <r>
    <n v="52"/>
    <n v="1"/>
    <n v="410.9"/>
    <s v="Crédito"/>
    <s v="Venda"/>
    <s v="2025-03-02 10:10:10"/>
    <x v="31"/>
  </r>
  <r>
    <n v="53"/>
    <n v="2"/>
    <n v="-110"/>
    <s v="Pix"/>
    <s v="Restoque"/>
    <s v="2025-03-05 15:00:00"/>
    <x v="32"/>
  </r>
  <r>
    <n v="54"/>
    <n v="4"/>
    <n v="220"/>
    <s v="Débito"/>
    <s v="Venda"/>
    <s v="2025-03-09 16:25:35"/>
    <x v="33"/>
  </r>
  <r>
    <n v="55"/>
    <n v="1"/>
    <n v="-85"/>
    <s v="Dinheiro"/>
    <s v="Restoque"/>
    <s v="2025-03-13 18:12:12"/>
    <x v="34"/>
  </r>
  <r>
    <n v="56"/>
    <n v="2"/>
    <n v="370"/>
    <s v="Pendente"/>
    <s v="Venda"/>
    <s v="2025-03-21 13:33:33"/>
    <x v="35"/>
  </r>
  <r>
    <n v="57"/>
    <n v="4"/>
    <n v="-150.75"/>
    <s v="Crédito"/>
    <s v="Restoque"/>
    <s v="2025-04-01 09:09:09"/>
    <x v="36"/>
  </r>
  <r>
    <n v="58"/>
    <n v="1"/>
    <n v="285"/>
    <s v="Pix"/>
    <s v="Venda"/>
    <s v="2025-04-06 10:20:20"/>
    <x v="37"/>
  </r>
  <r>
    <n v="59"/>
    <n v="2"/>
    <n v="490"/>
    <s v="Débito"/>
    <s v="Venda"/>
    <s v="2025-04-10 11:45:45"/>
    <x v="38"/>
  </r>
  <r>
    <n v="60"/>
    <n v="4"/>
    <n v="150"/>
    <s v="Pix"/>
    <s v="Venda"/>
    <s v="2025-04-14 14:14:14"/>
    <x v="39"/>
  </r>
  <r>
    <n v="61"/>
    <n v="1"/>
    <n v="-95"/>
    <s v="Dinheiro"/>
    <s v="Restoque"/>
    <s v="2025-04-20 17:30:00"/>
    <x v="40"/>
  </r>
  <r>
    <n v="62"/>
    <n v="2"/>
    <n v="310"/>
    <s v="Crédito"/>
    <s v="Venda"/>
    <s v="2025-05-01 08:08:08"/>
    <x v="41"/>
  </r>
  <r>
    <n v="63"/>
    <n v="4"/>
    <n v="-100"/>
    <s v="Pix"/>
    <s v="Restoque"/>
    <s v="2025-05-03 09:45:45"/>
    <x v="42"/>
  </r>
  <r>
    <n v="64"/>
    <n v="1"/>
    <n v="330"/>
    <s v="Pendente"/>
    <s v="Venda"/>
    <s v="2025-05-07 11:11:00"/>
    <x v="20"/>
  </r>
  <r>
    <n v="65"/>
    <n v="2"/>
    <n v="-135"/>
    <s v="Débito"/>
    <s v="Restoque"/>
    <s v="2025-05-10 14:00:00"/>
    <x v="43"/>
  </r>
  <r>
    <n v="66"/>
    <n v="4"/>
    <n v="200"/>
    <s v="Crédito"/>
    <s v="Venda"/>
    <s v="2025-05-15 15:45:45"/>
    <x v="44"/>
  </r>
  <r>
    <n v="67"/>
    <n v="1"/>
    <n v="-105"/>
    <s v="Pix"/>
    <s v="Restoque"/>
    <s v="2025-05-17 17:00:00"/>
    <x v="45"/>
  </r>
  <r>
    <n v="68"/>
    <n v="2"/>
    <n v="260"/>
    <s v="Dinheiro"/>
    <s v="Venda"/>
    <s v="2025-05-20 18:30:00"/>
    <x v="46"/>
  </r>
  <r>
    <n v="69"/>
    <n v="4"/>
    <n v="390"/>
    <s v="Débito"/>
    <s v="Venda"/>
    <s v="2025-05-25 12:34:56"/>
    <x v="47"/>
  </r>
  <r>
    <n v="70"/>
    <n v="1"/>
    <n v="145"/>
    <s v="Pix"/>
    <s v="Venda"/>
    <s v="2025-05-28 16:16:16"/>
    <x v="48"/>
  </r>
  <r>
    <n v="71"/>
    <n v="2"/>
    <n v="-88"/>
    <s v="Pendente"/>
    <s v="Restoque"/>
    <s v="2025-05-30 19:19:19"/>
    <x v="4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1BEBF2E-AA74-4788-AA14-D6394FC0B048}" name="Tabela dinâmica3" cacheId="11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I1:J9" firstHeaderRow="1" firstDataRow="1" firstDataCol="1"/>
  <pivotFields count="9">
    <pivotField showAll="0"/>
    <pivotField showAll="0"/>
    <pivotField dataField="1" showAll="0"/>
    <pivotField showAll="0"/>
    <pivotField showAll="0"/>
    <pivotField showAll="0"/>
    <pivotField numFmtId="14" showAll="0">
      <items count="51">
        <item x="1"/>
        <item x="2"/>
        <item x="3"/>
        <item x="4"/>
        <item x="5"/>
        <item x="6"/>
        <item x="0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t="default"/>
      </items>
    </pivotField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showAll="0">
      <items count="4">
        <item x="1"/>
        <item x="2"/>
        <item x="0"/>
        <item t="default"/>
      </items>
    </pivotField>
  </pivotFields>
  <rowFields count="2">
    <field x="8"/>
    <field x="7"/>
  </rowFields>
  <rowItems count="8">
    <i>
      <x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Items count="1">
    <i/>
  </colItems>
  <dataFields count="1">
    <dataField name="Soma de valor" fld="2" baseField="0" baseItem="0"/>
  </dataFields>
  <chartFormats count="1"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3" xr16:uid="{C61183B1-2184-4D7D-8FE4-2E59918B7438}" autoFormatId="16" applyNumberFormats="0" applyBorderFormats="0" applyFontFormats="0" applyPatternFormats="0" applyAlignmentFormats="0" applyWidthHeightFormats="0">
  <queryTableRefresh nextId="8" unboundColumnsRight="1">
    <queryTableFields count="7">
      <queryTableField id="1" name="id" tableColumnId="1"/>
      <queryTableField id="2" name="id_contato" tableColumnId="2"/>
      <queryTableField id="3" name="valor" tableColumnId="3"/>
      <queryTableField id="4" name="tipo_pagamento" tableColumnId="4"/>
      <queryTableField id="5" name="tipo_operacao" tableColumnId="5"/>
      <queryTableField id="6" name="criado_em" tableColumnId="6"/>
      <queryTableField id="7" dataBound="0" tableColumnId="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78C819B5-652E-437D-911C-ACFBE5CD0691}" autoFormatId="16" applyNumberFormats="0" applyBorderFormats="0" applyFontFormats="0" applyPatternFormats="0" applyAlignmentFormats="0" applyWidthHeightFormats="0">
  <queryTableRefresh nextId="6">
    <queryTableFields count="5">
      <queryTableField id="1" name="id" tableColumnId="1"/>
      <queryTableField id="2" name="nome" tableColumnId="2"/>
      <queryTableField id="3" name="telefone" tableColumnId="3"/>
      <queryTableField id="4" name="email" tableColumnId="4"/>
      <queryTableField id="5" name="is_fornecedor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6462D10E-59B8-4DF5-ABD7-2B8063C0148B}" autoFormatId="16" applyNumberFormats="0" applyBorderFormats="0" applyFontFormats="0" applyPatternFormats="0" applyAlignmentFormats="0" applyWidthHeightFormats="0">
  <queryTableRefresh nextId="8">
    <queryTableFields count="7">
      <queryTableField id="1" name="id" tableColumnId="1"/>
      <queryTableField id="2" name="codigo" tableColumnId="2"/>
      <queryTableField id="3" name="nome" tableColumnId="3"/>
      <queryTableField id="4" name="marca" tableColumnId="4"/>
      <queryTableField id="5" name="tipo_produto" tableColumnId="5"/>
      <queryTableField id="6" name="preco" tableColumnId="6"/>
      <queryTableField id="7" name="em_estoque" tableColumnId="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68E7B7B-D6C1-4517-A979-7A97FBE7FD1F}" name="Operacoes" displayName="Operacoes" ref="A1:G70" tableType="queryTable" totalsRowShown="0">
  <autoFilter ref="A1:G70" xr:uid="{868E7B7B-D6C1-4517-A979-7A97FBE7FD1F}"/>
  <tableColumns count="7">
    <tableColumn id="1" xr3:uid="{60112595-4B1D-4F04-8E63-B8E69D7CE7FC}" uniqueName="1" name="id" queryTableFieldId="1"/>
    <tableColumn id="2" xr3:uid="{DCCDF019-600E-4DF9-8B65-7F76E77CF90A}" uniqueName="2" name="id_contato" queryTableFieldId="2"/>
    <tableColumn id="3" xr3:uid="{39D8B682-4773-41C6-9696-010086DD84D9}" uniqueName="3" name="valor" queryTableFieldId="3"/>
    <tableColumn id="4" xr3:uid="{734FB27A-7F72-4B30-AFFD-ED1F4E2724F9}" uniqueName="4" name="tipo_pagamento" queryTableFieldId="4" dataDxfId="3"/>
    <tableColumn id="5" xr3:uid="{3517676F-FA4A-4F31-B8EC-4919C6ACAB36}" uniqueName="5" name="tipo_operacao" queryTableFieldId="5" dataDxfId="2"/>
    <tableColumn id="6" xr3:uid="{C3D8C44E-CA7C-4BE5-B7CD-5EB16532DCF5}" uniqueName="6" name="criado_em" queryTableFieldId="6" dataDxfId="1"/>
    <tableColumn id="7" xr3:uid="{E1E6FEAC-E957-4034-B1F3-48979FC591DC}" uniqueName="7" name="data_formatada" queryTableFieldId="7" dataDxfId="0">
      <calculatedColumnFormula>DATEVALUE(Operacoes[[#This Row],[criado_em]])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403D30A-4E0A-485E-BAD1-E45F052A6334}" name="Contatos" displayName="Contatos" ref="A1:E5" tableType="queryTable" totalsRowShown="0">
  <autoFilter ref="A1:E5" xr:uid="{F403D30A-4E0A-485E-BAD1-E45F052A6334}"/>
  <tableColumns count="5">
    <tableColumn id="1" xr3:uid="{A059850D-EF5F-4755-B6BF-232807E7047E}" uniqueName="1" name="id" queryTableFieldId="1"/>
    <tableColumn id="2" xr3:uid="{32A3EF96-0319-4C77-8F9B-B8CE7AC5D006}" uniqueName="2" name="nome" queryTableFieldId="2" dataDxfId="13"/>
    <tableColumn id="3" xr3:uid="{1D312079-9A28-4A87-BB51-31DFF9853504}" uniqueName="3" name="telefone" queryTableFieldId="3" dataDxfId="12"/>
    <tableColumn id="4" xr3:uid="{EEB88ABA-5E5E-4D28-A7E9-E1E032CAFF27}" uniqueName="4" name="email" queryTableFieldId="4" dataDxfId="11"/>
    <tableColumn id="5" xr3:uid="{B71191B8-D9C4-4A95-A97D-57B01D8C6F7E}" uniqueName="5" name="is_fornecedor" queryTableFieldId="5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C6D1A70-080A-46EA-801E-2C455C02BB40}" name="Produtos" displayName="Produtos" ref="A1:G5" tableType="queryTable" totalsRowShown="0">
  <autoFilter ref="A1:G5" xr:uid="{4C6D1A70-080A-46EA-801E-2C455C02BB40}"/>
  <tableColumns count="7">
    <tableColumn id="1" xr3:uid="{132EAC57-2A38-42C5-BD49-BE54135ACF41}" uniqueName="1" name="id" queryTableFieldId="1"/>
    <tableColumn id="2" xr3:uid="{EB99C377-0CD9-4558-82E2-1F666B27615D}" uniqueName="2" name="codigo" queryTableFieldId="2" dataDxfId="10"/>
    <tableColumn id="3" xr3:uid="{CD586DF5-3606-458C-83B0-8BAEA6F5F7F1}" uniqueName="3" name="nome" queryTableFieldId="3" dataDxfId="9"/>
    <tableColumn id="4" xr3:uid="{2C3491CF-85DB-40BB-BEDD-D6C8688EC37F}" uniqueName="4" name="marca" queryTableFieldId="4" dataDxfId="8"/>
    <tableColumn id="5" xr3:uid="{776930BF-B46D-4E57-99D6-FAA4326E6C10}" uniqueName="5" name="tipo_produto" queryTableFieldId="5" dataDxfId="7"/>
    <tableColumn id="6" xr3:uid="{B5A75AA7-912A-46F4-AEA5-EBE19D6C249E}" uniqueName="6" name="preco" queryTableFieldId="6"/>
    <tableColumn id="7" xr3:uid="{80265694-AE27-4B53-AB72-551AF967ADB0}" uniqueName="7" name="em_estoque" queryTableFieldId="7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7"/>
  <sheetViews>
    <sheetView tabSelected="1" topLeftCell="B1" zoomScale="115" zoomScaleNormal="115" workbookViewId="0">
      <selection activeCell="F7" sqref="F7"/>
    </sheetView>
  </sheetViews>
  <sheetFormatPr defaultRowHeight="15" x14ac:dyDescent="0.25"/>
  <cols>
    <col min="1" max="1" width="7.5703125" hidden="1" customWidth="1"/>
    <col min="2" max="2" width="2.85546875" customWidth="1"/>
    <col min="6" max="6" width="23.42578125" customWidth="1"/>
  </cols>
  <sheetData>
    <row r="1" spans="1:6" x14ac:dyDescent="0.25">
      <c r="A1" t="s">
        <v>0</v>
      </c>
    </row>
    <row r="7" spans="1:6" x14ac:dyDescent="0.25">
      <c r="C7" s="3" t="s">
        <v>46</v>
      </c>
      <c r="D7" s="3"/>
      <c r="E7" s="3"/>
      <c r="F7" s="1">
        <f>SUM(Operacoes[valor])</f>
        <v>608.40000000000055</v>
      </c>
    </row>
  </sheetData>
  <mergeCells count="1">
    <mergeCell ref="C7:E7"/>
  </mergeCells>
  <conditionalFormatting sqref="F7">
    <cfRule type="cellIs" dxfId="6" priority="1" operator="greaterThan">
      <formula>0</formula>
    </cfRule>
    <cfRule type="cellIs" dxfId="5" priority="2" operator="lessThan">
      <formula>0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35A944-3D90-4044-9D22-6B5ED28C00B3}">
  <sheetPr codeName="Sheet2">
    <tabColor theme="7" tint="0.39997558519241921"/>
  </sheetPr>
  <dimension ref="A1:J70"/>
  <sheetViews>
    <sheetView workbookViewId="0">
      <selection activeCell="J5" sqref="J5"/>
    </sheetView>
  </sheetViews>
  <sheetFormatPr defaultRowHeight="15" x14ac:dyDescent="0.25"/>
  <cols>
    <col min="1" max="1" width="5" bestFit="1" customWidth="1"/>
    <col min="2" max="2" width="12.7109375" bestFit="1" customWidth="1"/>
    <col min="3" max="3" width="7.7109375" bestFit="1" customWidth="1"/>
    <col min="4" max="4" width="18" bestFit="1" customWidth="1"/>
    <col min="5" max="5" width="16.140625" bestFit="1" customWidth="1"/>
    <col min="6" max="6" width="18.5703125" bestFit="1" customWidth="1"/>
    <col min="7" max="7" width="17.42578125" bestFit="1" customWidth="1"/>
    <col min="9" max="9" width="18" bestFit="1" customWidth="1"/>
    <col min="10" max="10" width="13.5703125" bestFit="1" customWidth="1"/>
    <col min="11" max="14" width="18.5703125" bestFit="1" customWidth="1"/>
    <col min="15" max="15" width="10.7109375" bestFit="1" customWidth="1"/>
  </cols>
  <sheetData>
    <row r="1" spans="1:10" x14ac:dyDescent="0.25">
      <c r="A1" t="s">
        <v>1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50</v>
      </c>
      <c r="I1" s="4" t="s">
        <v>47</v>
      </c>
      <c r="J1" t="s">
        <v>49</v>
      </c>
    </row>
    <row r="2" spans="1:10" x14ac:dyDescent="0.25">
      <c r="A2">
        <v>1</v>
      </c>
      <c r="B2">
        <v>3</v>
      </c>
      <c r="C2">
        <v>-8000</v>
      </c>
      <c r="D2" s="6" t="s">
        <v>40</v>
      </c>
      <c r="E2" s="6" t="s">
        <v>41</v>
      </c>
      <c r="F2" s="7" t="s">
        <v>42</v>
      </c>
      <c r="G2" s="7">
        <f>DATEVALUE(Operacoes[[#This Row],[criado_em]])</f>
        <v>45815</v>
      </c>
      <c r="I2" s="2" t="s">
        <v>75</v>
      </c>
      <c r="J2" s="6">
        <v>608.40000000000055</v>
      </c>
    </row>
    <row r="3" spans="1:10" x14ac:dyDescent="0.25">
      <c r="A3">
        <v>2</v>
      </c>
      <c r="B3">
        <v>3</v>
      </c>
      <c r="C3">
        <v>-8102</v>
      </c>
      <c r="D3" s="6" t="s">
        <v>40</v>
      </c>
      <c r="E3" s="6" t="s">
        <v>41</v>
      </c>
      <c r="F3" s="7" t="s">
        <v>43</v>
      </c>
      <c r="G3" s="7">
        <f>DATEVALUE(Operacoes[[#This Row],[criado_em]])</f>
        <v>45815</v>
      </c>
      <c r="I3" s="5" t="s">
        <v>92</v>
      </c>
      <c r="J3" s="6">
        <v>735</v>
      </c>
    </row>
    <row r="4" spans="1:10" x14ac:dyDescent="0.25">
      <c r="A4">
        <v>3</v>
      </c>
      <c r="B4">
        <v>2</v>
      </c>
      <c r="C4">
        <v>8102</v>
      </c>
      <c r="D4" s="6" t="s">
        <v>40</v>
      </c>
      <c r="E4" s="6" t="s">
        <v>44</v>
      </c>
      <c r="F4" s="7" t="s">
        <v>45</v>
      </c>
      <c r="G4" s="7">
        <f>DATEVALUE(Operacoes[[#This Row],[criado_em]])</f>
        <v>45815</v>
      </c>
      <c r="I4" s="5" t="s">
        <v>93</v>
      </c>
      <c r="J4" s="6">
        <v>849.4</v>
      </c>
    </row>
    <row r="5" spans="1:10" x14ac:dyDescent="0.25">
      <c r="A5">
        <v>6</v>
      </c>
      <c r="B5">
        <v>1</v>
      </c>
      <c r="C5">
        <v>150.75</v>
      </c>
      <c r="D5" s="6" t="s">
        <v>40</v>
      </c>
      <c r="E5" s="6" t="s">
        <v>44</v>
      </c>
      <c r="F5" s="7" t="s">
        <v>42</v>
      </c>
      <c r="G5" s="7">
        <f>DATEVALUE(Operacoes[[#This Row],[criado_em]])</f>
        <v>45815</v>
      </c>
      <c r="I5" s="5" t="s">
        <v>94</v>
      </c>
      <c r="J5" s="6">
        <v>1496.65</v>
      </c>
    </row>
    <row r="6" spans="1:10" x14ac:dyDescent="0.25">
      <c r="A6">
        <v>7</v>
      </c>
      <c r="B6">
        <v>2</v>
      </c>
      <c r="C6">
        <v>80</v>
      </c>
      <c r="D6" s="6" t="s">
        <v>51</v>
      </c>
      <c r="E6" s="6" t="s">
        <v>44</v>
      </c>
      <c r="F6" s="7" t="s">
        <v>52</v>
      </c>
      <c r="G6" s="7">
        <f>DATEVALUE(Operacoes[[#This Row],[criado_em]])</f>
        <v>45815</v>
      </c>
      <c r="I6" s="5" t="s">
        <v>95</v>
      </c>
      <c r="J6" s="6">
        <v>674.55</v>
      </c>
    </row>
    <row r="7" spans="1:10" x14ac:dyDescent="0.25">
      <c r="A7">
        <v>8</v>
      </c>
      <c r="B7">
        <v>4</v>
      </c>
      <c r="C7">
        <v>210</v>
      </c>
      <c r="D7" s="6" t="s">
        <v>53</v>
      </c>
      <c r="E7" s="6" t="s">
        <v>44</v>
      </c>
      <c r="F7" s="7" t="s">
        <v>54</v>
      </c>
      <c r="G7" s="7">
        <f>DATEVALUE(Operacoes[[#This Row],[criado_em]])</f>
        <v>45815</v>
      </c>
      <c r="I7" s="5" t="s">
        <v>96</v>
      </c>
      <c r="J7" s="6">
        <v>1612</v>
      </c>
    </row>
    <row r="8" spans="1:10" x14ac:dyDescent="0.25">
      <c r="A8">
        <v>9</v>
      </c>
      <c r="B8">
        <v>1</v>
      </c>
      <c r="C8">
        <v>-120.5</v>
      </c>
      <c r="D8" s="6" t="s">
        <v>55</v>
      </c>
      <c r="E8" s="6" t="s">
        <v>41</v>
      </c>
      <c r="F8" s="7" t="s">
        <v>56</v>
      </c>
      <c r="G8" s="7">
        <f>DATEVALUE(Operacoes[[#This Row],[criado_em]])</f>
        <v>45815</v>
      </c>
      <c r="I8" s="5" t="s">
        <v>76</v>
      </c>
      <c r="J8" s="6">
        <v>-4759.2</v>
      </c>
    </row>
    <row r="9" spans="1:10" x14ac:dyDescent="0.25">
      <c r="A9">
        <v>10</v>
      </c>
      <c r="B9">
        <v>2</v>
      </c>
      <c r="C9">
        <v>-90</v>
      </c>
      <c r="D9" s="6" t="s">
        <v>40</v>
      </c>
      <c r="E9" s="6" t="s">
        <v>41</v>
      </c>
      <c r="F9" s="7" t="s">
        <v>57</v>
      </c>
      <c r="G9" s="7">
        <f>DATEVALUE(Operacoes[[#This Row],[criado_em]])</f>
        <v>45815</v>
      </c>
      <c r="I9" s="2" t="s">
        <v>48</v>
      </c>
      <c r="J9" s="6">
        <v>608.40000000000055</v>
      </c>
    </row>
    <row r="10" spans="1:10" x14ac:dyDescent="0.25">
      <c r="A10">
        <v>11</v>
      </c>
      <c r="B10">
        <v>4</v>
      </c>
      <c r="C10">
        <v>300</v>
      </c>
      <c r="D10" s="6" t="s">
        <v>58</v>
      </c>
      <c r="E10" s="6" t="s">
        <v>44</v>
      </c>
      <c r="F10" s="7" t="s">
        <v>59</v>
      </c>
      <c r="G10" s="7">
        <f>DATEVALUE(Operacoes[[#This Row],[criado_em]])</f>
        <v>45815</v>
      </c>
    </row>
    <row r="11" spans="1:10" x14ac:dyDescent="0.25">
      <c r="A11">
        <v>12</v>
      </c>
      <c r="B11">
        <v>1</v>
      </c>
      <c r="C11">
        <v>200</v>
      </c>
      <c r="D11" s="6" t="s">
        <v>40</v>
      </c>
      <c r="E11" s="6" t="s">
        <v>44</v>
      </c>
      <c r="F11" s="7" t="s">
        <v>60</v>
      </c>
      <c r="G11" s="7">
        <f>DATEVALUE(Operacoes[[#This Row],[criado_em]])</f>
        <v>45809</v>
      </c>
    </row>
    <row r="12" spans="1:10" x14ac:dyDescent="0.25">
      <c r="A12">
        <v>13</v>
      </c>
      <c r="B12">
        <v>2</v>
      </c>
      <c r="C12">
        <v>-75.5</v>
      </c>
      <c r="D12" s="6" t="s">
        <v>55</v>
      </c>
      <c r="E12" s="6" t="s">
        <v>41</v>
      </c>
      <c r="F12" s="7" t="s">
        <v>61</v>
      </c>
      <c r="G12" s="7">
        <f>DATEVALUE(Operacoes[[#This Row],[criado_em]])</f>
        <v>45810</v>
      </c>
    </row>
    <row r="13" spans="1:10" x14ac:dyDescent="0.25">
      <c r="A13">
        <v>14</v>
      </c>
      <c r="B13">
        <v>4</v>
      </c>
      <c r="C13">
        <v>320</v>
      </c>
      <c r="D13" s="6" t="s">
        <v>53</v>
      </c>
      <c r="E13" s="6" t="s">
        <v>44</v>
      </c>
      <c r="F13" s="7" t="s">
        <v>62</v>
      </c>
      <c r="G13" s="7">
        <f>DATEVALUE(Operacoes[[#This Row],[criado_em]])</f>
        <v>45811</v>
      </c>
    </row>
    <row r="14" spans="1:10" x14ac:dyDescent="0.25">
      <c r="A14">
        <v>15</v>
      </c>
      <c r="B14">
        <v>2</v>
      </c>
      <c r="C14">
        <v>-150</v>
      </c>
      <c r="D14" s="6" t="s">
        <v>51</v>
      </c>
      <c r="E14" s="6" t="s">
        <v>41</v>
      </c>
      <c r="F14" s="7" t="s">
        <v>63</v>
      </c>
      <c r="G14" s="7">
        <f>DATEVALUE(Operacoes[[#This Row],[criado_em]])</f>
        <v>45812</v>
      </c>
    </row>
    <row r="15" spans="1:10" x14ac:dyDescent="0.25">
      <c r="A15">
        <v>16</v>
      </c>
      <c r="B15">
        <v>1</v>
      </c>
      <c r="C15">
        <v>450.75</v>
      </c>
      <c r="D15" s="6" t="s">
        <v>40</v>
      </c>
      <c r="E15" s="6" t="s">
        <v>44</v>
      </c>
      <c r="F15" s="7" t="s">
        <v>64</v>
      </c>
      <c r="G15" s="7">
        <f>DATEVALUE(Operacoes[[#This Row],[criado_em]])</f>
        <v>45813</v>
      </c>
    </row>
    <row r="16" spans="1:10" x14ac:dyDescent="0.25">
      <c r="A16">
        <v>17</v>
      </c>
      <c r="B16">
        <v>4</v>
      </c>
      <c r="C16">
        <v>290</v>
      </c>
      <c r="D16" s="6" t="s">
        <v>58</v>
      </c>
      <c r="E16" s="6" t="s">
        <v>44</v>
      </c>
      <c r="F16" s="7" t="s">
        <v>65</v>
      </c>
      <c r="G16" s="7">
        <f>DATEVALUE(Operacoes[[#This Row],[criado_em]])</f>
        <v>45814</v>
      </c>
    </row>
    <row r="17" spans="1:7" x14ac:dyDescent="0.25">
      <c r="A17">
        <v>18</v>
      </c>
      <c r="B17">
        <v>2</v>
      </c>
      <c r="C17">
        <v>-95</v>
      </c>
      <c r="D17" s="6" t="s">
        <v>40</v>
      </c>
      <c r="E17" s="6" t="s">
        <v>41</v>
      </c>
      <c r="F17" s="7" t="s">
        <v>66</v>
      </c>
      <c r="G17" s="7">
        <f>DATEVALUE(Operacoes[[#This Row],[criado_em]])</f>
        <v>45814</v>
      </c>
    </row>
    <row r="18" spans="1:7" x14ac:dyDescent="0.25">
      <c r="A18">
        <v>19</v>
      </c>
      <c r="B18">
        <v>1</v>
      </c>
      <c r="C18">
        <v>110.5</v>
      </c>
      <c r="D18" s="6" t="s">
        <v>55</v>
      </c>
      <c r="E18" s="6" t="s">
        <v>44</v>
      </c>
      <c r="F18" s="7" t="s">
        <v>67</v>
      </c>
      <c r="G18" s="7">
        <f>DATEVALUE(Operacoes[[#This Row],[criado_em]])</f>
        <v>45815</v>
      </c>
    </row>
    <row r="19" spans="1:7" x14ac:dyDescent="0.25">
      <c r="A19">
        <v>20</v>
      </c>
      <c r="B19">
        <v>4</v>
      </c>
      <c r="C19">
        <v>-130.19999999999999</v>
      </c>
      <c r="D19" s="6" t="s">
        <v>51</v>
      </c>
      <c r="E19" s="6" t="s">
        <v>41</v>
      </c>
      <c r="F19" s="7" t="s">
        <v>68</v>
      </c>
      <c r="G19" s="7">
        <f>DATEVALUE(Operacoes[[#This Row],[criado_em]])</f>
        <v>45816</v>
      </c>
    </row>
    <row r="20" spans="1:7" x14ac:dyDescent="0.25">
      <c r="A20">
        <v>21</v>
      </c>
      <c r="B20">
        <v>2</v>
      </c>
      <c r="C20">
        <v>500</v>
      </c>
      <c r="D20" s="6" t="s">
        <v>53</v>
      </c>
      <c r="E20" s="6" t="s">
        <v>44</v>
      </c>
      <c r="F20" s="7" t="s">
        <v>69</v>
      </c>
      <c r="G20" s="7">
        <f>DATEVALUE(Operacoes[[#This Row],[criado_em]])</f>
        <v>45817</v>
      </c>
    </row>
    <row r="21" spans="1:7" x14ac:dyDescent="0.25">
      <c r="A21">
        <v>22</v>
      </c>
      <c r="B21">
        <v>1</v>
      </c>
      <c r="C21">
        <v>-120</v>
      </c>
      <c r="D21" s="6" t="s">
        <v>40</v>
      </c>
      <c r="E21" s="6" t="s">
        <v>41</v>
      </c>
      <c r="F21" s="7" t="s">
        <v>70</v>
      </c>
      <c r="G21" s="7">
        <f>DATEVALUE(Operacoes[[#This Row],[criado_em]])</f>
        <v>45817</v>
      </c>
    </row>
    <row r="22" spans="1:7" x14ac:dyDescent="0.25">
      <c r="A22">
        <v>23</v>
      </c>
      <c r="B22">
        <v>4</v>
      </c>
      <c r="C22">
        <v>210</v>
      </c>
      <c r="D22" s="6" t="s">
        <v>51</v>
      </c>
      <c r="E22" s="6" t="s">
        <v>44</v>
      </c>
      <c r="F22" s="7" t="s">
        <v>71</v>
      </c>
      <c r="G22" s="7">
        <f>DATEVALUE(Operacoes[[#This Row],[criado_em]])</f>
        <v>45818</v>
      </c>
    </row>
    <row r="23" spans="1:7" x14ac:dyDescent="0.25">
      <c r="A23">
        <v>24</v>
      </c>
      <c r="B23">
        <v>1</v>
      </c>
      <c r="C23">
        <v>375</v>
      </c>
      <c r="D23" s="6" t="s">
        <v>53</v>
      </c>
      <c r="E23" s="6" t="s">
        <v>44</v>
      </c>
      <c r="F23" s="7" t="s">
        <v>72</v>
      </c>
      <c r="G23" s="7">
        <f>DATEVALUE(Operacoes[[#This Row],[criado_em]])</f>
        <v>45818</v>
      </c>
    </row>
    <row r="24" spans="1:7" x14ac:dyDescent="0.25">
      <c r="A24">
        <v>25</v>
      </c>
      <c r="B24">
        <v>2</v>
      </c>
      <c r="C24">
        <v>-60</v>
      </c>
      <c r="D24" s="6" t="s">
        <v>55</v>
      </c>
      <c r="E24" s="6" t="s">
        <v>41</v>
      </c>
      <c r="F24" s="7" t="s">
        <v>73</v>
      </c>
      <c r="G24" s="7">
        <f>DATEVALUE(Operacoes[[#This Row],[criado_em]])</f>
        <v>45819</v>
      </c>
    </row>
    <row r="25" spans="1:7" x14ac:dyDescent="0.25">
      <c r="A25">
        <v>26</v>
      </c>
      <c r="B25">
        <v>4</v>
      </c>
      <c r="C25">
        <v>180</v>
      </c>
      <c r="D25" s="6" t="s">
        <v>40</v>
      </c>
      <c r="E25" s="6" t="s">
        <v>44</v>
      </c>
      <c r="F25" s="7" t="s">
        <v>74</v>
      </c>
      <c r="G25" s="7">
        <f>DATEVALUE(Operacoes[[#This Row],[criado_em]])</f>
        <v>45819</v>
      </c>
    </row>
    <row r="26" spans="1:7" x14ac:dyDescent="0.25">
      <c r="A26">
        <v>27</v>
      </c>
      <c r="B26">
        <v>1</v>
      </c>
      <c r="C26">
        <v>250</v>
      </c>
      <c r="D26" s="6" t="s">
        <v>40</v>
      </c>
      <c r="E26" s="6" t="s">
        <v>44</v>
      </c>
      <c r="F26" s="7" t="s">
        <v>77</v>
      </c>
      <c r="G26" s="7">
        <f>DATEVALUE(Operacoes[[#This Row],[criado_em]])</f>
        <v>45662</v>
      </c>
    </row>
    <row r="27" spans="1:7" x14ac:dyDescent="0.25">
      <c r="A27">
        <v>28</v>
      </c>
      <c r="B27">
        <v>2</v>
      </c>
      <c r="C27">
        <v>-80.5</v>
      </c>
      <c r="D27" s="6" t="s">
        <v>55</v>
      </c>
      <c r="E27" s="6" t="s">
        <v>41</v>
      </c>
      <c r="F27" s="7" t="s">
        <v>78</v>
      </c>
      <c r="G27" s="7">
        <f>DATEVALUE(Operacoes[[#This Row],[criado_em]])</f>
        <v>45679</v>
      </c>
    </row>
    <row r="28" spans="1:7" x14ac:dyDescent="0.25">
      <c r="A28">
        <v>29</v>
      </c>
      <c r="B28">
        <v>4</v>
      </c>
      <c r="C28">
        <v>300</v>
      </c>
      <c r="D28" s="6" t="s">
        <v>53</v>
      </c>
      <c r="E28" s="6" t="s">
        <v>44</v>
      </c>
      <c r="F28" s="7" t="s">
        <v>79</v>
      </c>
      <c r="G28" s="7">
        <f>DATEVALUE(Operacoes[[#This Row],[criado_em]])</f>
        <v>45691</v>
      </c>
    </row>
    <row r="29" spans="1:7" x14ac:dyDescent="0.25">
      <c r="A29">
        <v>30</v>
      </c>
      <c r="B29">
        <v>2</v>
      </c>
      <c r="C29">
        <v>-140</v>
      </c>
      <c r="D29" s="6" t="s">
        <v>51</v>
      </c>
      <c r="E29" s="6" t="s">
        <v>41</v>
      </c>
      <c r="F29" s="7" t="s">
        <v>80</v>
      </c>
      <c r="G29" s="7">
        <f>DATEVALUE(Operacoes[[#This Row],[criado_em]])</f>
        <v>45703</v>
      </c>
    </row>
    <row r="30" spans="1:7" x14ac:dyDescent="0.25">
      <c r="A30">
        <v>31</v>
      </c>
      <c r="B30">
        <v>1</v>
      </c>
      <c r="C30">
        <v>470.75</v>
      </c>
      <c r="D30" s="6" t="s">
        <v>40</v>
      </c>
      <c r="E30" s="6" t="s">
        <v>44</v>
      </c>
      <c r="F30" s="7" t="s">
        <v>81</v>
      </c>
      <c r="G30" s="7">
        <f>DATEVALUE(Operacoes[[#This Row],[criado_em]])</f>
        <v>45717</v>
      </c>
    </row>
    <row r="31" spans="1:7" x14ac:dyDescent="0.25">
      <c r="A31">
        <v>32</v>
      </c>
      <c r="B31">
        <v>4</v>
      </c>
      <c r="C31">
        <v>310</v>
      </c>
      <c r="D31" s="6" t="s">
        <v>58</v>
      </c>
      <c r="E31" s="6" t="s">
        <v>44</v>
      </c>
      <c r="F31" s="7" t="s">
        <v>82</v>
      </c>
      <c r="G31" s="7">
        <f>DATEVALUE(Operacoes[[#This Row],[criado_em]])</f>
        <v>45728</v>
      </c>
    </row>
    <row r="32" spans="1:7" x14ac:dyDescent="0.25">
      <c r="A32">
        <v>33</v>
      </c>
      <c r="B32">
        <v>2</v>
      </c>
      <c r="C32">
        <v>-90</v>
      </c>
      <c r="D32" s="6" t="s">
        <v>40</v>
      </c>
      <c r="E32" s="6" t="s">
        <v>41</v>
      </c>
      <c r="F32" s="7" t="s">
        <v>83</v>
      </c>
      <c r="G32" s="7">
        <f>DATEVALUE(Operacoes[[#This Row],[criado_em]])</f>
        <v>45741</v>
      </c>
    </row>
    <row r="33" spans="1:7" x14ac:dyDescent="0.25">
      <c r="A33">
        <v>34</v>
      </c>
      <c r="B33">
        <v>1</v>
      </c>
      <c r="C33">
        <v>120.5</v>
      </c>
      <c r="D33" s="6" t="s">
        <v>55</v>
      </c>
      <c r="E33" s="6" t="s">
        <v>44</v>
      </c>
      <c r="F33" s="7" t="s">
        <v>84</v>
      </c>
      <c r="G33" s="7">
        <f>DATEVALUE(Operacoes[[#This Row],[criado_em]])</f>
        <v>45750</v>
      </c>
    </row>
    <row r="34" spans="1:7" x14ac:dyDescent="0.25">
      <c r="A34">
        <v>35</v>
      </c>
      <c r="B34">
        <v>4</v>
      </c>
      <c r="C34">
        <v>-125.2</v>
      </c>
      <c r="D34" s="6" t="s">
        <v>51</v>
      </c>
      <c r="E34" s="6" t="s">
        <v>41</v>
      </c>
      <c r="F34" s="7" t="s">
        <v>85</v>
      </c>
      <c r="G34" s="7">
        <f>DATEVALUE(Operacoes[[#This Row],[criado_em]])</f>
        <v>45765</v>
      </c>
    </row>
    <row r="35" spans="1:7" x14ac:dyDescent="0.25">
      <c r="A35">
        <v>36</v>
      </c>
      <c r="B35">
        <v>2</v>
      </c>
      <c r="C35">
        <v>520</v>
      </c>
      <c r="D35" s="6" t="s">
        <v>53</v>
      </c>
      <c r="E35" s="6" t="s">
        <v>44</v>
      </c>
      <c r="F35" s="7" t="s">
        <v>86</v>
      </c>
      <c r="G35" s="7">
        <f>DATEVALUE(Operacoes[[#This Row],[criado_em]])</f>
        <v>45784</v>
      </c>
    </row>
    <row r="36" spans="1:7" x14ac:dyDescent="0.25">
      <c r="A36">
        <v>37</v>
      </c>
      <c r="B36">
        <v>1</v>
      </c>
      <c r="C36">
        <v>-115</v>
      </c>
      <c r="D36" s="6" t="s">
        <v>40</v>
      </c>
      <c r="E36" s="6" t="s">
        <v>41</v>
      </c>
      <c r="F36" s="7" t="s">
        <v>87</v>
      </c>
      <c r="G36" s="7">
        <f>DATEVALUE(Operacoes[[#This Row],[criado_em]])</f>
        <v>45796</v>
      </c>
    </row>
    <row r="37" spans="1:7" x14ac:dyDescent="0.25">
      <c r="A37">
        <v>38</v>
      </c>
      <c r="B37">
        <v>4</v>
      </c>
      <c r="C37">
        <v>230</v>
      </c>
      <c r="D37" s="6" t="s">
        <v>51</v>
      </c>
      <c r="E37" s="6" t="s">
        <v>44</v>
      </c>
      <c r="F37" s="7" t="s">
        <v>88</v>
      </c>
      <c r="G37" s="7">
        <f>DATEVALUE(Operacoes[[#This Row],[criado_em]])</f>
        <v>45809</v>
      </c>
    </row>
    <row r="38" spans="1:7" x14ac:dyDescent="0.25">
      <c r="A38">
        <v>39</v>
      </c>
      <c r="B38">
        <v>1</v>
      </c>
      <c r="C38">
        <v>360</v>
      </c>
      <c r="D38" s="6" t="s">
        <v>53</v>
      </c>
      <c r="E38" s="6" t="s">
        <v>44</v>
      </c>
      <c r="F38" s="7" t="s">
        <v>89</v>
      </c>
      <c r="G38" s="7">
        <f>DATEVALUE(Operacoes[[#This Row],[criado_em]])</f>
        <v>45813</v>
      </c>
    </row>
    <row r="39" spans="1:7" x14ac:dyDescent="0.25">
      <c r="A39">
        <v>40</v>
      </c>
      <c r="B39">
        <v>2</v>
      </c>
      <c r="C39">
        <v>-75</v>
      </c>
      <c r="D39" s="6" t="s">
        <v>55</v>
      </c>
      <c r="E39" s="6" t="s">
        <v>41</v>
      </c>
      <c r="F39" s="7" t="s">
        <v>90</v>
      </c>
      <c r="G39" s="7">
        <f>DATEVALUE(Operacoes[[#This Row],[criado_em]])</f>
        <v>45814</v>
      </c>
    </row>
    <row r="40" spans="1:7" x14ac:dyDescent="0.25">
      <c r="A40">
        <v>41</v>
      </c>
      <c r="B40">
        <v>4</v>
      </c>
      <c r="C40">
        <v>190</v>
      </c>
      <c r="D40" s="6" t="s">
        <v>40</v>
      </c>
      <c r="E40" s="6" t="s">
        <v>44</v>
      </c>
      <c r="F40" s="7" t="s">
        <v>91</v>
      </c>
      <c r="G40" s="7">
        <f>DATEVALUE(Operacoes[[#This Row],[criado_em]])</f>
        <v>45815</v>
      </c>
    </row>
    <row r="41" spans="1:7" x14ac:dyDescent="0.25">
      <c r="A41">
        <v>42</v>
      </c>
      <c r="B41">
        <v>1</v>
      </c>
      <c r="C41">
        <v>210</v>
      </c>
      <c r="D41" s="6" t="s">
        <v>40</v>
      </c>
      <c r="E41" s="6" t="s">
        <v>44</v>
      </c>
      <c r="F41" s="7" t="s">
        <v>97</v>
      </c>
      <c r="G41" s="7">
        <f>DATEVALUE(Operacoes[[#This Row],[criado_em]])</f>
        <v>45660</v>
      </c>
    </row>
    <row r="42" spans="1:7" x14ac:dyDescent="0.25">
      <c r="A42">
        <v>43</v>
      </c>
      <c r="B42">
        <v>2</v>
      </c>
      <c r="C42">
        <v>-75</v>
      </c>
      <c r="D42" s="6" t="s">
        <v>55</v>
      </c>
      <c r="E42" s="6" t="s">
        <v>41</v>
      </c>
      <c r="F42" s="7" t="s">
        <v>98</v>
      </c>
      <c r="G42" s="7">
        <f>DATEVALUE(Operacoes[[#This Row],[criado_em]])</f>
        <v>45664</v>
      </c>
    </row>
    <row r="43" spans="1:7" x14ac:dyDescent="0.25">
      <c r="A43">
        <v>44</v>
      </c>
      <c r="B43">
        <v>4</v>
      </c>
      <c r="C43">
        <v>300.5</v>
      </c>
      <c r="D43" s="6" t="s">
        <v>51</v>
      </c>
      <c r="E43" s="6" t="s">
        <v>44</v>
      </c>
      <c r="F43" s="7" t="s">
        <v>99</v>
      </c>
      <c r="G43" s="7">
        <f>DATEVALUE(Operacoes[[#This Row],[criado_em]])</f>
        <v>45672</v>
      </c>
    </row>
    <row r="44" spans="1:7" x14ac:dyDescent="0.25">
      <c r="A44">
        <v>45</v>
      </c>
      <c r="B44">
        <v>1</v>
      </c>
      <c r="C44">
        <v>-120</v>
      </c>
      <c r="D44" s="6" t="s">
        <v>53</v>
      </c>
      <c r="E44" s="6" t="s">
        <v>41</v>
      </c>
      <c r="F44" s="7" t="s">
        <v>100</v>
      </c>
      <c r="G44" s="7">
        <f>DATEVALUE(Operacoes[[#This Row],[criado_em]])</f>
        <v>45679</v>
      </c>
    </row>
    <row r="45" spans="1:7" x14ac:dyDescent="0.25">
      <c r="A45">
        <v>46</v>
      </c>
      <c r="B45">
        <v>2</v>
      </c>
      <c r="C45">
        <v>250</v>
      </c>
      <c r="D45" s="6" t="s">
        <v>40</v>
      </c>
      <c r="E45" s="6" t="s">
        <v>44</v>
      </c>
      <c r="F45" s="7" t="s">
        <v>101</v>
      </c>
      <c r="G45" s="7">
        <f>DATEVALUE(Operacoes[[#This Row],[criado_em]])</f>
        <v>45687</v>
      </c>
    </row>
    <row r="46" spans="1:7" x14ac:dyDescent="0.25">
      <c r="A46">
        <v>47</v>
      </c>
      <c r="B46">
        <v>4</v>
      </c>
      <c r="C46">
        <v>410</v>
      </c>
      <c r="D46" s="6" t="s">
        <v>58</v>
      </c>
      <c r="E46" s="6" t="s">
        <v>44</v>
      </c>
      <c r="F46" s="7" t="s">
        <v>102</v>
      </c>
      <c r="G46" s="7">
        <f>DATEVALUE(Operacoes[[#This Row],[criado_em]])</f>
        <v>45692</v>
      </c>
    </row>
    <row r="47" spans="1:7" x14ac:dyDescent="0.25">
      <c r="A47">
        <v>48</v>
      </c>
      <c r="B47">
        <v>2</v>
      </c>
      <c r="C47">
        <v>-95.6</v>
      </c>
      <c r="D47" s="6" t="s">
        <v>55</v>
      </c>
      <c r="E47" s="6" t="s">
        <v>41</v>
      </c>
      <c r="F47" s="7" t="s">
        <v>103</v>
      </c>
      <c r="G47" s="7">
        <f>DATEVALUE(Operacoes[[#This Row],[criado_em]])</f>
        <v>45696</v>
      </c>
    </row>
    <row r="48" spans="1:7" x14ac:dyDescent="0.25">
      <c r="A48">
        <v>49</v>
      </c>
      <c r="B48">
        <v>1</v>
      </c>
      <c r="C48">
        <v>180</v>
      </c>
      <c r="D48" s="6" t="s">
        <v>53</v>
      </c>
      <c r="E48" s="6" t="s">
        <v>44</v>
      </c>
      <c r="F48" s="7" t="s">
        <v>104</v>
      </c>
      <c r="G48" s="7">
        <f>DATEVALUE(Operacoes[[#This Row],[criado_em]])</f>
        <v>45702</v>
      </c>
    </row>
    <row r="49" spans="1:7" x14ac:dyDescent="0.25">
      <c r="A49">
        <v>50</v>
      </c>
      <c r="B49">
        <v>4</v>
      </c>
      <c r="C49">
        <v>-130</v>
      </c>
      <c r="D49" s="6" t="s">
        <v>40</v>
      </c>
      <c r="E49" s="6" t="s">
        <v>41</v>
      </c>
      <c r="F49" s="7" t="s">
        <v>105</v>
      </c>
      <c r="G49" s="7">
        <f>DATEVALUE(Operacoes[[#This Row],[criado_em]])</f>
        <v>45706</v>
      </c>
    </row>
    <row r="50" spans="1:7" x14ac:dyDescent="0.25">
      <c r="A50">
        <v>51</v>
      </c>
      <c r="B50">
        <v>2</v>
      </c>
      <c r="C50">
        <v>325</v>
      </c>
      <c r="D50" s="6" t="s">
        <v>51</v>
      </c>
      <c r="E50" s="6" t="s">
        <v>44</v>
      </c>
      <c r="F50" s="7" t="s">
        <v>106</v>
      </c>
      <c r="G50" s="7">
        <f>DATEVALUE(Operacoes[[#This Row],[criado_em]])</f>
        <v>45713</v>
      </c>
    </row>
    <row r="51" spans="1:7" x14ac:dyDescent="0.25">
      <c r="A51">
        <v>52</v>
      </c>
      <c r="B51">
        <v>1</v>
      </c>
      <c r="C51">
        <v>410.9</v>
      </c>
      <c r="D51" s="6" t="s">
        <v>53</v>
      </c>
      <c r="E51" s="6" t="s">
        <v>44</v>
      </c>
      <c r="F51" s="7" t="s">
        <v>107</v>
      </c>
      <c r="G51" s="7">
        <f>DATEVALUE(Operacoes[[#This Row],[criado_em]])</f>
        <v>45718</v>
      </c>
    </row>
    <row r="52" spans="1:7" x14ac:dyDescent="0.25">
      <c r="A52">
        <v>53</v>
      </c>
      <c r="B52">
        <v>2</v>
      </c>
      <c r="C52">
        <v>-110</v>
      </c>
      <c r="D52" s="6" t="s">
        <v>40</v>
      </c>
      <c r="E52" s="6" t="s">
        <v>41</v>
      </c>
      <c r="F52" s="7" t="s">
        <v>108</v>
      </c>
      <c r="G52" s="7">
        <f>DATEVALUE(Operacoes[[#This Row],[criado_em]])</f>
        <v>45721</v>
      </c>
    </row>
    <row r="53" spans="1:7" x14ac:dyDescent="0.25">
      <c r="A53">
        <v>54</v>
      </c>
      <c r="B53">
        <v>4</v>
      </c>
      <c r="C53">
        <v>220</v>
      </c>
      <c r="D53" s="6" t="s">
        <v>55</v>
      </c>
      <c r="E53" s="6" t="s">
        <v>44</v>
      </c>
      <c r="F53" s="7" t="s">
        <v>109</v>
      </c>
      <c r="G53" s="7">
        <f>DATEVALUE(Operacoes[[#This Row],[criado_em]])</f>
        <v>45725</v>
      </c>
    </row>
    <row r="54" spans="1:7" x14ac:dyDescent="0.25">
      <c r="A54">
        <v>55</v>
      </c>
      <c r="B54">
        <v>1</v>
      </c>
      <c r="C54">
        <v>-85</v>
      </c>
      <c r="D54" s="6" t="s">
        <v>51</v>
      </c>
      <c r="E54" s="6" t="s">
        <v>41</v>
      </c>
      <c r="F54" s="7" t="s">
        <v>110</v>
      </c>
      <c r="G54" s="7">
        <f>DATEVALUE(Operacoes[[#This Row],[criado_em]])</f>
        <v>45729</v>
      </c>
    </row>
    <row r="55" spans="1:7" x14ac:dyDescent="0.25">
      <c r="A55">
        <v>56</v>
      </c>
      <c r="B55">
        <v>2</v>
      </c>
      <c r="C55">
        <v>370</v>
      </c>
      <c r="D55" s="6" t="s">
        <v>58</v>
      </c>
      <c r="E55" s="6" t="s">
        <v>44</v>
      </c>
      <c r="F55" s="7" t="s">
        <v>111</v>
      </c>
      <c r="G55" s="7">
        <f>DATEVALUE(Operacoes[[#This Row],[criado_em]])</f>
        <v>45737</v>
      </c>
    </row>
    <row r="56" spans="1:7" x14ac:dyDescent="0.25">
      <c r="A56">
        <v>57</v>
      </c>
      <c r="B56">
        <v>4</v>
      </c>
      <c r="C56">
        <v>-150.75</v>
      </c>
      <c r="D56" s="6" t="s">
        <v>53</v>
      </c>
      <c r="E56" s="6" t="s">
        <v>41</v>
      </c>
      <c r="F56" s="7" t="s">
        <v>112</v>
      </c>
      <c r="G56" s="7">
        <f>DATEVALUE(Operacoes[[#This Row],[criado_em]])</f>
        <v>45748</v>
      </c>
    </row>
    <row r="57" spans="1:7" x14ac:dyDescent="0.25">
      <c r="A57">
        <v>58</v>
      </c>
      <c r="B57">
        <v>1</v>
      </c>
      <c r="C57">
        <v>285</v>
      </c>
      <c r="D57" s="6" t="s">
        <v>40</v>
      </c>
      <c r="E57" s="6" t="s">
        <v>44</v>
      </c>
      <c r="F57" s="7" t="s">
        <v>113</v>
      </c>
      <c r="G57" s="7">
        <f>DATEVALUE(Operacoes[[#This Row],[criado_em]])</f>
        <v>45753</v>
      </c>
    </row>
    <row r="58" spans="1:7" x14ac:dyDescent="0.25">
      <c r="A58">
        <v>59</v>
      </c>
      <c r="B58">
        <v>2</v>
      </c>
      <c r="C58">
        <v>490</v>
      </c>
      <c r="D58" s="6" t="s">
        <v>55</v>
      </c>
      <c r="E58" s="6" t="s">
        <v>44</v>
      </c>
      <c r="F58" s="7" t="s">
        <v>114</v>
      </c>
      <c r="G58" s="7">
        <f>DATEVALUE(Operacoes[[#This Row],[criado_em]])</f>
        <v>45757</v>
      </c>
    </row>
    <row r="59" spans="1:7" x14ac:dyDescent="0.25">
      <c r="A59">
        <v>60</v>
      </c>
      <c r="B59">
        <v>4</v>
      </c>
      <c r="C59">
        <v>150</v>
      </c>
      <c r="D59" s="6" t="s">
        <v>40</v>
      </c>
      <c r="E59" s="6" t="s">
        <v>44</v>
      </c>
      <c r="F59" s="7" t="s">
        <v>115</v>
      </c>
      <c r="G59" s="7">
        <f>DATEVALUE(Operacoes[[#This Row],[criado_em]])</f>
        <v>45761</v>
      </c>
    </row>
    <row r="60" spans="1:7" x14ac:dyDescent="0.25">
      <c r="A60">
        <v>61</v>
      </c>
      <c r="B60">
        <v>1</v>
      </c>
      <c r="C60">
        <v>-95</v>
      </c>
      <c r="D60" s="6" t="s">
        <v>51</v>
      </c>
      <c r="E60" s="6" t="s">
        <v>41</v>
      </c>
      <c r="F60" s="7" t="s">
        <v>116</v>
      </c>
      <c r="G60" s="7">
        <f>DATEVALUE(Operacoes[[#This Row],[criado_em]])</f>
        <v>45767</v>
      </c>
    </row>
    <row r="61" spans="1:7" x14ac:dyDescent="0.25">
      <c r="A61">
        <v>62</v>
      </c>
      <c r="B61">
        <v>2</v>
      </c>
      <c r="C61">
        <v>310</v>
      </c>
      <c r="D61" s="6" t="s">
        <v>53</v>
      </c>
      <c r="E61" s="6" t="s">
        <v>44</v>
      </c>
      <c r="F61" s="7" t="s">
        <v>117</v>
      </c>
      <c r="G61" s="7">
        <f>DATEVALUE(Operacoes[[#This Row],[criado_em]])</f>
        <v>45778</v>
      </c>
    </row>
    <row r="62" spans="1:7" x14ac:dyDescent="0.25">
      <c r="A62">
        <v>63</v>
      </c>
      <c r="B62">
        <v>4</v>
      </c>
      <c r="C62">
        <v>-100</v>
      </c>
      <c r="D62" s="6" t="s">
        <v>40</v>
      </c>
      <c r="E62" s="6" t="s">
        <v>41</v>
      </c>
      <c r="F62" s="7" t="s">
        <v>118</v>
      </c>
      <c r="G62" s="7">
        <f>DATEVALUE(Operacoes[[#This Row],[criado_em]])</f>
        <v>45780</v>
      </c>
    </row>
    <row r="63" spans="1:7" x14ac:dyDescent="0.25">
      <c r="A63">
        <v>64</v>
      </c>
      <c r="B63">
        <v>1</v>
      </c>
      <c r="C63">
        <v>330</v>
      </c>
      <c r="D63" s="6" t="s">
        <v>58</v>
      </c>
      <c r="E63" s="6" t="s">
        <v>44</v>
      </c>
      <c r="F63" s="7" t="s">
        <v>119</v>
      </c>
      <c r="G63" s="7">
        <f>DATEVALUE(Operacoes[[#This Row],[criado_em]])</f>
        <v>45784</v>
      </c>
    </row>
    <row r="64" spans="1:7" x14ac:dyDescent="0.25">
      <c r="A64">
        <v>65</v>
      </c>
      <c r="B64">
        <v>2</v>
      </c>
      <c r="C64">
        <v>-135</v>
      </c>
      <c r="D64" s="6" t="s">
        <v>55</v>
      </c>
      <c r="E64" s="6" t="s">
        <v>41</v>
      </c>
      <c r="F64" s="7" t="s">
        <v>120</v>
      </c>
      <c r="G64" s="7">
        <f>DATEVALUE(Operacoes[[#This Row],[criado_em]])</f>
        <v>45787</v>
      </c>
    </row>
    <row r="65" spans="1:7" x14ac:dyDescent="0.25">
      <c r="A65">
        <v>66</v>
      </c>
      <c r="B65">
        <v>4</v>
      </c>
      <c r="C65">
        <v>200</v>
      </c>
      <c r="D65" s="6" t="s">
        <v>53</v>
      </c>
      <c r="E65" s="6" t="s">
        <v>44</v>
      </c>
      <c r="F65" s="7" t="s">
        <v>121</v>
      </c>
      <c r="G65" s="7">
        <f>DATEVALUE(Operacoes[[#This Row],[criado_em]])</f>
        <v>45792</v>
      </c>
    </row>
    <row r="66" spans="1:7" x14ac:dyDescent="0.25">
      <c r="A66">
        <v>67</v>
      </c>
      <c r="B66">
        <v>1</v>
      </c>
      <c r="C66">
        <v>-105</v>
      </c>
      <c r="D66" s="6" t="s">
        <v>40</v>
      </c>
      <c r="E66" s="6" t="s">
        <v>41</v>
      </c>
      <c r="F66" s="7" t="s">
        <v>122</v>
      </c>
      <c r="G66" s="7">
        <f>DATEVALUE(Operacoes[[#This Row],[criado_em]])</f>
        <v>45794</v>
      </c>
    </row>
    <row r="67" spans="1:7" x14ac:dyDescent="0.25">
      <c r="A67">
        <v>68</v>
      </c>
      <c r="B67">
        <v>2</v>
      </c>
      <c r="C67">
        <v>260</v>
      </c>
      <c r="D67" s="6" t="s">
        <v>51</v>
      </c>
      <c r="E67" s="6" t="s">
        <v>44</v>
      </c>
      <c r="F67" s="7" t="s">
        <v>123</v>
      </c>
      <c r="G67" s="7">
        <f>DATEVALUE(Operacoes[[#This Row],[criado_em]])</f>
        <v>45797</v>
      </c>
    </row>
    <row r="68" spans="1:7" x14ac:dyDescent="0.25">
      <c r="A68">
        <v>69</v>
      </c>
      <c r="B68">
        <v>4</v>
      </c>
      <c r="C68">
        <v>390</v>
      </c>
      <c r="D68" s="6" t="s">
        <v>55</v>
      </c>
      <c r="E68" s="6" t="s">
        <v>44</v>
      </c>
      <c r="F68" s="7" t="s">
        <v>124</v>
      </c>
      <c r="G68" s="7">
        <f>DATEVALUE(Operacoes[[#This Row],[criado_em]])</f>
        <v>45802</v>
      </c>
    </row>
    <row r="69" spans="1:7" x14ac:dyDescent="0.25">
      <c r="A69">
        <v>70</v>
      </c>
      <c r="B69">
        <v>1</v>
      </c>
      <c r="C69">
        <v>145</v>
      </c>
      <c r="D69" s="6" t="s">
        <v>40</v>
      </c>
      <c r="E69" s="6" t="s">
        <v>44</v>
      </c>
      <c r="F69" s="7" t="s">
        <v>125</v>
      </c>
      <c r="G69" s="7">
        <f>DATEVALUE(Operacoes[[#This Row],[criado_em]])</f>
        <v>45805</v>
      </c>
    </row>
    <row r="70" spans="1:7" x14ac:dyDescent="0.25">
      <c r="A70">
        <v>71</v>
      </c>
      <c r="B70">
        <v>2</v>
      </c>
      <c r="C70">
        <v>-88</v>
      </c>
      <c r="D70" s="6" t="s">
        <v>58</v>
      </c>
      <c r="E70" s="6" t="s">
        <v>41</v>
      </c>
      <c r="F70" s="7" t="s">
        <v>126</v>
      </c>
      <c r="G70" s="7">
        <f>DATEVALUE(Operacoes[[#This Row],[criado_em]])</f>
        <v>45807</v>
      </c>
    </row>
  </sheetData>
  <pageMargins left="0.7" right="0.7" top="0.75" bottom="0.75" header="0.3" footer="0.3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C886A4-DC8D-4005-882E-C3ADDA568F5E}">
  <sheetPr codeName="Sheet3">
    <tabColor theme="7" tint="0.39997558519241921"/>
  </sheetPr>
  <dimension ref="A1:E5"/>
  <sheetViews>
    <sheetView workbookViewId="0">
      <selection activeCell="L28" sqref="K28:L28"/>
    </sheetView>
  </sheetViews>
  <sheetFormatPr defaultRowHeight="15" x14ac:dyDescent="0.25"/>
  <cols>
    <col min="1" max="1" width="5" bestFit="1" customWidth="1"/>
    <col min="2" max="2" width="21.5703125" bestFit="1" customWidth="1"/>
    <col min="3" max="3" width="14.7109375" bestFit="1" customWidth="1"/>
    <col min="4" max="4" width="29" bestFit="1" customWidth="1"/>
    <col min="5" max="5" width="15.7109375" bestFit="1" customWidth="1"/>
  </cols>
  <sheetData>
    <row r="1" spans="1:5" x14ac:dyDescent="0.25">
      <c r="A1" t="s">
        <v>1</v>
      </c>
      <c r="B1" t="s">
        <v>3</v>
      </c>
      <c r="C1" t="s">
        <v>20</v>
      </c>
      <c r="D1" t="s">
        <v>21</v>
      </c>
      <c r="E1" t="s">
        <v>22</v>
      </c>
    </row>
    <row r="2" spans="1:5" x14ac:dyDescent="0.25">
      <c r="A2">
        <v>1</v>
      </c>
      <c r="B2" t="s">
        <v>23</v>
      </c>
      <c r="C2" t="s">
        <v>24</v>
      </c>
      <c r="D2" t="s">
        <v>25</v>
      </c>
      <c r="E2">
        <v>0</v>
      </c>
    </row>
    <row r="3" spans="1:5" x14ac:dyDescent="0.25">
      <c r="A3">
        <v>2</v>
      </c>
      <c r="B3" t="s">
        <v>26</v>
      </c>
      <c r="C3" t="s">
        <v>27</v>
      </c>
      <c r="D3" t="s">
        <v>28</v>
      </c>
      <c r="E3">
        <v>0</v>
      </c>
    </row>
    <row r="4" spans="1:5" x14ac:dyDescent="0.25">
      <c r="A4">
        <v>3</v>
      </c>
      <c r="B4" t="s">
        <v>29</v>
      </c>
      <c r="C4" t="s">
        <v>30</v>
      </c>
      <c r="D4" t="s">
        <v>31</v>
      </c>
      <c r="E4">
        <v>1</v>
      </c>
    </row>
    <row r="5" spans="1:5" x14ac:dyDescent="0.25">
      <c r="A5">
        <v>4</v>
      </c>
      <c r="B5" t="s">
        <v>32</v>
      </c>
      <c r="C5" t="s">
        <v>33</v>
      </c>
      <c r="D5" t="s">
        <v>34</v>
      </c>
      <c r="E5">
        <v>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B6CCFD-8247-41B9-BCE4-44F44088B2A8}">
  <sheetPr codeName="Sheet4">
    <tabColor theme="7" tint="0.39997558519241921"/>
  </sheetPr>
  <dimension ref="A1:G5"/>
  <sheetViews>
    <sheetView workbookViewId="0">
      <selection activeCell="H12" sqref="H12"/>
    </sheetView>
  </sheetViews>
  <sheetFormatPr defaultRowHeight="15" x14ac:dyDescent="0.25"/>
  <cols>
    <col min="1" max="1" width="5" bestFit="1" customWidth="1"/>
    <col min="3" max="3" width="16" bestFit="1" customWidth="1"/>
    <col min="4" max="4" width="9.42578125" bestFit="1" customWidth="1"/>
    <col min="5" max="5" width="15" bestFit="1" customWidth="1"/>
    <col min="6" max="6" width="8.28515625" bestFit="1" customWidth="1"/>
    <col min="7" max="7" width="14.42578125" bestFit="1" customWidth="1"/>
  </cols>
  <sheetData>
    <row r="1" spans="1:7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6</v>
      </c>
      <c r="G1" t="s">
        <v>7</v>
      </c>
    </row>
    <row r="2" spans="1:7" x14ac:dyDescent="0.25">
      <c r="A2">
        <v>1</v>
      </c>
      <c r="B2" t="s">
        <v>8</v>
      </c>
      <c r="C2" t="s">
        <v>9</v>
      </c>
      <c r="D2" t="s">
        <v>10</v>
      </c>
      <c r="E2" t="s">
        <v>11</v>
      </c>
      <c r="F2">
        <v>25.5</v>
      </c>
      <c r="G2">
        <v>3</v>
      </c>
    </row>
    <row r="3" spans="1:7" x14ac:dyDescent="0.25">
      <c r="A3">
        <v>2</v>
      </c>
      <c r="B3" t="s">
        <v>12</v>
      </c>
      <c r="C3" t="s">
        <v>13</v>
      </c>
      <c r="D3" t="s">
        <v>10</v>
      </c>
      <c r="E3" t="s">
        <v>11</v>
      </c>
      <c r="F3">
        <v>40</v>
      </c>
      <c r="G3">
        <v>-2</v>
      </c>
    </row>
    <row r="4" spans="1:7" x14ac:dyDescent="0.25">
      <c r="A4">
        <v>3</v>
      </c>
      <c r="B4" t="s">
        <v>14</v>
      </c>
      <c r="C4" t="s">
        <v>15</v>
      </c>
      <c r="D4" t="s">
        <v>16</v>
      </c>
      <c r="E4" t="s">
        <v>17</v>
      </c>
      <c r="F4">
        <v>50000</v>
      </c>
      <c r="G4">
        <v>3</v>
      </c>
    </row>
    <row r="5" spans="1:7" x14ac:dyDescent="0.25">
      <c r="A5">
        <v>4</v>
      </c>
      <c r="B5" t="s">
        <v>18</v>
      </c>
      <c r="C5" t="s">
        <v>19</v>
      </c>
      <c r="D5" t="s">
        <v>16</v>
      </c>
      <c r="E5" t="s">
        <v>17</v>
      </c>
      <c r="F5">
        <v>1555</v>
      </c>
      <c r="G5">
        <v>9</v>
      </c>
    </row>
  </sheetData>
  <conditionalFormatting sqref="G1:G1048576">
    <cfRule type="cellIs" dxfId="4" priority="1" operator="lessThan">
      <formula>0</formula>
    </cfRule>
  </conditionalFormatting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00F09B0-F96B-4D9B-95F8-507471EE2C3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1</vt:i4>
      </vt:variant>
    </vt:vector>
  </HeadingPairs>
  <TitlesOfParts>
    <vt:vector size="5" baseType="lpstr">
      <vt:lpstr>Config</vt:lpstr>
      <vt:lpstr>Operacoes</vt:lpstr>
      <vt:lpstr>Contatos</vt:lpstr>
      <vt:lpstr>Produtos</vt:lpstr>
      <vt:lpstr>Config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Lucas Bittencourt</dc:creator>
  <cp:lastModifiedBy>Lucas Bittencourt Rauch</cp:lastModifiedBy>
  <dcterms:created xsi:type="dcterms:W3CDTF">2015-06-05T18:17:20Z</dcterms:created>
  <dcterms:modified xsi:type="dcterms:W3CDTF">2025-06-07T18:17:58Z</dcterms:modified>
</cp:coreProperties>
</file>